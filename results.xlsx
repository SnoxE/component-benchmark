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ia\Stopien 2\Semestr 3\thesis\component-benchmark\"/>
    </mc:Choice>
  </mc:AlternateContent>
  <xr:revisionPtr revIDLastSave="0" documentId="8_{EE7C30E6-C630-4517-A54F-62811F63616A}" xr6:coauthVersionLast="47" xr6:coauthVersionMax="47" xr10:uidLastSave="{00000000-0000-0000-0000-000000000000}"/>
  <bookViews>
    <workbookView xWindow="-15465" yWindow="-270" windowWidth="11070" windowHeight="8205" activeTab="1" xr2:uid="{19F00508-655E-43CB-85B5-FF1651D8BEC7}"/>
  </bookViews>
  <sheets>
    <sheet name="Arkusz1" sheetId="1" r:id="rId1"/>
    <sheet name="lighthouse" sheetId="2" r:id="rId2"/>
  </sheet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71" i="2" l="1"/>
  <c r="L171" i="2"/>
  <c r="L170" i="2"/>
  <c r="G170" i="2"/>
  <c r="L169" i="2"/>
  <c r="G169" i="2"/>
  <c r="L168" i="2"/>
  <c r="G168" i="2"/>
  <c r="L167" i="2"/>
  <c r="G167" i="2"/>
  <c r="L161" i="2"/>
  <c r="L162" i="2"/>
  <c r="L163" i="2"/>
  <c r="G161" i="2"/>
  <c r="G162" i="2"/>
  <c r="G163" i="2"/>
  <c r="G160" i="2"/>
  <c r="L160" i="2"/>
  <c r="T152" i="1"/>
  <c r="T151" i="1"/>
  <c r="T147" i="1"/>
  <c r="T146" i="1"/>
  <c r="X152" i="1"/>
  <c r="X151" i="1"/>
  <c r="X147" i="1"/>
  <c r="X146" i="1"/>
  <c r="W98" i="2"/>
  <c r="AA114" i="2"/>
  <c r="AA16" i="2"/>
  <c r="AA153" i="2"/>
  <c r="W153" i="2"/>
  <c r="AA151" i="2"/>
  <c r="W151" i="2"/>
  <c r="AA149" i="2"/>
  <c r="W149" i="2"/>
  <c r="AA147" i="2"/>
  <c r="W147" i="2"/>
  <c r="AA146" i="2"/>
  <c r="W146" i="2"/>
  <c r="AA145" i="2"/>
  <c r="W145" i="2"/>
  <c r="AA144" i="2"/>
  <c r="W144" i="2"/>
  <c r="AA143" i="2"/>
  <c r="W143" i="2"/>
  <c r="AA142" i="2"/>
  <c r="W142" i="2"/>
  <c r="AA136" i="2"/>
  <c r="W136" i="2"/>
  <c r="AA134" i="2"/>
  <c r="W134" i="2"/>
  <c r="AA132" i="2"/>
  <c r="W132" i="2"/>
  <c r="AA130" i="2"/>
  <c r="W130" i="2"/>
  <c r="AA129" i="2"/>
  <c r="W129" i="2"/>
  <c r="AA128" i="2"/>
  <c r="W128" i="2"/>
  <c r="AA127" i="2"/>
  <c r="W127" i="2"/>
  <c r="AA126" i="2"/>
  <c r="W126" i="2"/>
  <c r="AA125" i="2"/>
  <c r="W125" i="2"/>
  <c r="AA119" i="2"/>
  <c r="W119" i="2"/>
  <c r="AA117" i="2"/>
  <c r="W117" i="2"/>
  <c r="AA115" i="2"/>
  <c r="W115" i="2"/>
  <c r="AA113" i="2"/>
  <c r="W113" i="2"/>
  <c r="AA112" i="2"/>
  <c r="W112" i="2"/>
  <c r="AA111" i="2"/>
  <c r="W111" i="2"/>
  <c r="AA110" i="2"/>
  <c r="W110" i="2"/>
  <c r="AA109" i="2"/>
  <c r="W109" i="2"/>
  <c r="AA108" i="2"/>
  <c r="W108" i="2"/>
  <c r="AA103" i="2"/>
  <c r="W103" i="2"/>
  <c r="AA101" i="2"/>
  <c r="W101" i="2"/>
  <c r="AA99" i="2"/>
  <c r="W99" i="2"/>
  <c r="AA97" i="2"/>
  <c r="W97" i="2"/>
  <c r="AA96" i="2"/>
  <c r="W96" i="2"/>
  <c r="AA95" i="2"/>
  <c r="W95" i="2"/>
  <c r="AA94" i="2"/>
  <c r="W94" i="2"/>
  <c r="AA93" i="2"/>
  <c r="W93" i="2"/>
  <c r="AA92" i="2"/>
  <c r="W92" i="2"/>
  <c r="AA87" i="2"/>
  <c r="W87" i="2"/>
  <c r="AA85" i="2"/>
  <c r="W85" i="2"/>
  <c r="AA83" i="2"/>
  <c r="W83" i="2"/>
  <c r="AA81" i="2"/>
  <c r="W81" i="2"/>
  <c r="AA80" i="2"/>
  <c r="W80" i="2"/>
  <c r="AA79" i="2"/>
  <c r="W79" i="2"/>
  <c r="AA78" i="2"/>
  <c r="W78" i="2"/>
  <c r="AA77" i="2"/>
  <c r="W77" i="2"/>
  <c r="AA76" i="2"/>
  <c r="W76" i="2"/>
  <c r="AA71" i="2"/>
  <c r="W71" i="2"/>
  <c r="AA69" i="2"/>
  <c r="W69" i="2"/>
  <c r="AA67" i="2"/>
  <c r="W67" i="2"/>
  <c r="AA65" i="2"/>
  <c r="W65" i="2"/>
  <c r="AA64" i="2"/>
  <c r="W64" i="2"/>
  <c r="AA63" i="2"/>
  <c r="W63" i="2"/>
  <c r="AA62" i="2"/>
  <c r="W62" i="2"/>
  <c r="AA61" i="2"/>
  <c r="W61" i="2"/>
  <c r="AA60" i="2"/>
  <c r="W60" i="2"/>
  <c r="AA55" i="2"/>
  <c r="W55" i="2"/>
  <c r="AA53" i="2"/>
  <c r="W53" i="2"/>
  <c r="AA51" i="2"/>
  <c r="W51" i="2"/>
  <c r="AA49" i="2"/>
  <c r="W49" i="2"/>
  <c r="AA48" i="2"/>
  <c r="W48" i="2"/>
  <c r="AA47" i="2"/>
  <c r="W47" i="2"/>
  <c r="AA46" i="2"/>
  <c r="W46" i="2"/>
  <c r="AA45" i="2"/>
  <c r="W45" i="2"/>
  <c r="AA44" i="2"/>
  <c r="W44" i="2"/>
  <c r="AA39" i="2"/>
  <c r="W39" i="2"/>
  <c r="AA37" i="2"/>
  <c r="W37" i="2"/>
  <c r="AA35" i="2"/>
  <c r="W35" i="2"/>
  <c r="AA33" i="2"/>
  <c r="W33" i="2"/>
  <c r="AA32" i="2"/>
  <c r="W32" i="2"/>
  <c r="AA31" i="2"/>
  <c r="W31" i="2"/>
  <c r="AA30" i="2"/>
  <c r="W30" i="2"/>
  <c r="AA29" i="2"/>
  <c r="W29" i="2"/>
  <c r="AA28" i="2"/>
  <c r="W28" i="2"/>
  <c r="AA23" i="2"/>
  <c r="W23" i="2"/>
  <c r="AA21" i="2"/>
  <c r="W21" i="2"/>
  <c r="AA19" i="2"/>
  <c r="W19" i="2"/>
  <c r="AA17" i="2"/>
  <c r="W17" i="2"/>
  <c r="W16" i="2"/>
  <c r="AA15" i="2"/>
  <c r="W15" i="2"/>
  <c r="AA14" i="2"/>
  <c r="W14" i="2"/>
  <c r="AA13" i="2"/>
  <c r="W13" i="2"/>
  <c r="AA12" i="2"/>
  <c r="W12" i="2"/>
  <c r="U76" i="1"/>
  <c r="T76" i="1"/>
  <c r="T75" i="1"/>
  <c r="V74" i="1"/>
  <c r="Y141" i="1"/>
  <c r="Y140" i="1"/>
  <c r="Y139" i="1"/>
  <c r="T141" i="1"/>
  <c r="T140" i="1"/>
  <c r="T139" i="1"/>
  <c r="T134" i="1"/>
  <c r="T133" i="1"/>
  <c r="T132" i="1"/>
  <c r="Y134" i="1"/>
  <c r="Y133" i="1"/>
  <c r="Y132" i="1"/>
  <c r="Y127" i="1"/>
  <c r="Y126" i="1"/>
  <c r="Y125" i="1"/>
  <c r="T127" i="1"/>
  <c r="T126" i="1"/>
  <c r="T125" i="1"/>
  <c r="T120" i="1"/>
  <c r="T119" i="1"/>
  <c r="T118" i="1"/>
  <c r="Y120" i="1"/>
  <c r="Y119" i="1"/>
  <c r="Y118" i="1"/>
  <c r="Y113" i="1"/>
  <c r="Y112" i="1"/>
  <c r="Y111" i="1"/>
  <c r="T113" i="1"/>
  <c r="T112" i="1"/>
  <c r="T111" i="1"/>
  <c r="T106" i="1"/>
  <c r="T105" i="1"/>
  <c r="T104" i="1"/>
  <c r="Y106" i="1"/>
  <c r="Y105" i="1"/>
  <c r="Y104" i="1"/>
  <c r="Y99" i="1"/>
  <c r="Y98" i="1"/>
  <c r="Y97" i="1"/>
  <c r="T99" i="1"/>
  <c r="T98" i="1"/>
  <c r="T97" i="1"/>
  <c r="T92" i="1"/>
  <c r="T91" i="1"/>
  <c r="T90" i="1"/>
  <c r="Y92" i="1"/>
  <c r="Y91" i="1"/>
  <c r="Y90" i="1"/>
  <c r="Y85" i="1"/>
  <c r="Y84" i="1"/>
  <c r="Y83" i="1"/>
  <c r="T85" i="1"/>
  <c r="T84" i="1"/>
  <c r="T83" i="1"/>
  <c r="Y56" i="1"/>
  <c r="Y55" i="1"/>
  <c r="Y54" i="1"/>
  <c r="Y63" i="1"/>
  <c r="Y62" i="1"/>
  <c r="Y61" i="1"/>
  <c r="Y70" i="1"/>
  <c r="Y69" i="1"/>
  <c r="Y68" i="1"/>
  <c r="T70" i="1"/>
  <c r="T69" i="1"/>
  <c r="T68" i="1"/>
  <c r="T63" i="1"/>
  <c r="T62" i="1"/>
  <c r="T61" i="1"/>
  <c r="T56" i="1"/>
  <c r="T55" i="1"/>
  <c r="T54" i="1"/>
  <c r="T49" i="1"/>
  <c r="T48" i="1"/>
  <c r="T47" i="1"/>
  <c r="Y49" i="1"/>
  <c r="Y48" i="1"/>
  <c r="Y47" i="1"/>
  <c r="Y42" i="1"/>
  <c r="Y41" i="1"/>
  <c r="Y40" i="1"/>
  <c r="T42" i="1"/>
  <c r="T41" i="1"/>
  <c r="T40" i="1"/>
  <c r="T35" i="1"/>
  <c r="T34" i="1"/>
  <c r="T33" i="1"/>
  <c r="Y35" i="1"/>
  <c r="Y34" i="1"/>
  <c r="AA34" i="1" s="1"/>
  <c r="Y33" i="1"/>
  <c r="AA33" i="1" s="1"/>
  <c r="Y28" i="1"/>
  <c r="Y27" i="1"/>
  <c r="Y26" i="1"/>
  <c r="T28" i="1"/>
  <c r="T27" i="1"/>
  <c r="T26" i="1"/>
  <c r="Y21" i="1"/>
  <c r="Y20" i="1"/>
  <c r="Y19" i="1"/>
  <c r="T21" i="1"/>
  <c r="T20" i="1"/>
  <c r="T19" i="1"/>
  <c r="Y14" i="1"/>
  <c r="Y13" i="1"/>
  <c r="Y12" i="1"/>
  <c r="T13" i="1"/>
  <c r="T14" i="1"/>
  <c r="T12" i="1"/>
  <c r="G118" i="1"/>
  <c r="L47" i="1"/>
  <c r="J179" i="1"/>
  <c r="J178" i="1"/>
  <c r="AA32" i="1"/>
  <c r="J177" i="1"/>
  <c r="F23" i="2"/>
  <c r="J153" i="2"/>
  <c r="F153" i="2"/>
  <c r="J151" i="2"/>
  <c r="F151" i="2"/>
  <c r="J149" i="2"/>
  <c r="F149" i="2"/>
  <c r="J147" i="2"/>
  <c r="F147" i="2"/>
  <c r="J146" i="2"/>
  <c r="F146" i="2"/>
  <c r="J145" i="2"/>
  <c r="F145" i="2"/>
  <c r="J144" i="2"/>
  <c r="F144" i="2"/>
  <c r="J143" i="2"/>
  <c r="F143" i="2"/>
  <c r="J142" i="2"/>
  <c r="F142" i="2"/>
  <c r="J136" i="2"/>
  <c r="F136" i="2"/>
  <c r="J134" i="2"/>
  <c r="F134" i="2"/>
  <c r="J132" i="2"/>
  <c r="F132" i="2"/>
  <c r="J130" i="2"/>
  <c r="F130" i="2"/>
  <c r="J129" i="2"/>
  <c r="F129" i="2"/>
  <c r="J128" i="2"/>
  <c r="F128" i="2"/>
  <c r="J127" i="2"/>
  <c r="F127" i="2"/>
  <c r="J126" i="2"/>
  <c r="F126" i="2"/>
  <c r="J125" i="2"/>
  <c r="F125" i="2"/>
  <c r="J80" i="2"/>
  <c r="J112" i="2"/>
  <c r="J96" i="2"/>
  <c r="J64" i="2"/>
  <c r="J48" i="2"/>
  <c r="J32" i="2"/>
  <c r="J119" i="2"/>
  <c r="F119" i="2"/>
  <c r="J117" i="2"/>
  <c r="F117" i="2"/>
  <c r="J115" i="2"/>
  <c r="F115" i="2"/>
  <c r="J113" i="2"/>
  <c r="F113" i="2"/>
  <c r="F112" i="2"/>
  <c r="J111" i="2"/>
  <c r="F111" i="2"/>
  <c r="J110" i="2"/>
  <c r="F110" i="2"/>
  <c r="J109" i="2"/>
  <c r="F109" i="2"/>
  <c r="J108" i="2"/>
  <c r="F108" i="2"/>
  <c r="J103" i="2"/>
  <c r="F103" i="2"/>
  <c r="J101" i="2"/>
  <c r="F101" i="2"/>
  <c r="J99" i="2"/>
  <c r="F99" i="2"/>
  <c r="J97" i="2"/>
  <c r="F97" i="2"/>
  <c r="F96" i="2"/>
  <c r="J95" i="2"/>
  <c r="F95" i="2"/>
  <c r="J94" i="2"/>
  <c r="F94" i="2"/>
  <c r="J93" i="2"/>
  <c r="F93" i="2"/>
  <c r="J92" i="2"/>
  <c r="F92" i="2"/>
  <c r="J87" i="2"/>
  <c r="F87" i="2"/>
  <c r="J85" i="2"/>
  <c r="F85" i="2"/>
  <c r="J83" i="2"/>
  <c r="F83" i="2"/>
  <c r="J81" i="2"/>
  <c r="F81" i="2"/>
  <c r="F80" i="2"/>
  <c r="J79" i="2"/>
  <c r="F79" i="2"/>
  <c r="J78" i="2"/>
  <c r="F78" i="2"/>
  <c r="J77" i="2"/>
  <c r="F77" i="2"/>
  <c r="J76" i="2"/>
  <c r="F76" i="2"/>
  <c r="J71" i="2"/>
  <c r="F71" i="2"/>
  <c r="J69" i="2"/>
  <c r="F69" i="2"/>
  <c r="J67" i="2"/>
  <c r="F67" i="2"/>
  <c r="J65" i="2"/>
  <c r="F65" i="2"/>
  <c r="F64" i="2"/>
  <c r="J63" i="2"/>
  <c r="F63" i="2"/>
  <c r="J62" i="2"/>
  <c r="F62" i="2"/>
  <c r="J61" i="2"/>
  <c r="F61" i="2"/>
  <c r="J60" i="2"/>
  <c r="F60" i="2"/>
  <c r="J55" i="2"/>
  <c r="F55" i="2"/>
  <c r="J53" i="2"/>
  <c r="F53" i="2"/>
  <c r="J51" i="2"/>
  <c r="F51" i="2"/>
  <c r="J49" i="2"/>
  <c r="F49" i="2"/>
  <c r="F48" i="2"/>
  <c r="J47" i="2"/>
  <c r="F47" i="2"/>
  <c r="J46" i="2"/>
  <c r="F46" i="2"/>
  <c r="J45" i="2"/>
  <c r="F45" i="2"/>
  <c r="J44" i="2"/>
  <c r="F44" i="2"/>
  <c r="J39" i="2"/>
  <c r="F39" i="2"/>
  <c r="J37" i="2"/>
  <c r="F37" i="2"/>
  <c r="J35" i="2"/>
  <c r="F35" i="2"/>
  <c r="J33" i="2"/>
  <c r="F33" i="2"/>
  <c r="F32" i="2"/>
  <c r="J31" i="2"/>
  <c r="F31" i="2"/>
  <c r="J30" i="2"/>
  <c r="F30" i="2"/>
  <c r="J29" i="2"/>
  <c r="F29" i="2"/>
  <c r="J28" i="2"/>
  <c r="F28" i="2"/>
  <c r="J23" i="2"/>
  <c r="J21" i="2"/>
  <c r="J19" i="2"/>
  <c r="J17" i="2"/>
  <c r="J15" i="2"/>
  <c r="J14" i="2"/>
  <c r="J13" i="2"/>
  <c r="J12" i="2"/>
  <c r="F12" i="2"/>
  <c r="F13" i="2"/>
  <c r="F14" i="2"/>
  <c r="F15" i="2"/>
  <c r="F16" i="2"/>
  <c r="F21" i="2"/>
  <c r="F19" i="2"/>
  <c r="F17" i="2"/>
  <c r="L141" i="1"/>
  <c r="G141" i="1"/>
  <c r="L140" i="1"/>
  <c r="G140" i="1"/>
  <c r="L139" i="1"/>
  <c r="G139" i="1"/>
  <c r="L134" i="1"/>
  <c r="G134" i="1"/>
  <c r="L133" i="1"/>
  <c r="G133" i="1"/>
  <c r="L132" i="1"/>
  <c r="G132" i="1"/>
  <c r="L70" i="1"/>
  <c r="G70" i="1"/>
  <c r="L69" i="1"/>
  <c r="G69" i="1"/>
  <c r="L68" i="1"/>
  <c r="G68" i="1"/>
  <c r="L63" i="1"/>
  <c r="G63" i="1"/>
  <c r="L62" i="1"/>
  <c r="G62" i="1"/>
  <c r="L61" i="1"/>
  <c r="G61" i="1"/>
  <c r="L127" i="1"/>
  <c r="G127" i="1"/>
  <c r="L126" i="1"/>
  <c r="G126" i="1"/>
  <c r="L125" i="1"/>
  <c r="G125" i="1"/>
  <c r="L120" i="1"/>
  <c r="G120" i="1"/>
  <c r="L119" i="1"/>
  <c r="G119" i="1"/>
  <c r="L118" i="1"/>
  <c r="L113" i="1"/>
  <c r="G113" i="1"/>
  <c r="L112" i="1"/>
  <c r="G112" i="1"/>
  <c r="L111" i="1"/>
  <c r="G111" i="1"/>
  <c r="L106" i="1"/>
  <c r="G106" i="1"/>
  <c r="L105" i="1"/>
  <c r="G105" i="1"/>
  <c r="L104" i="1"/>
  <c r="G104" i="1"/>
  <c r="L99" i="1"/>
  <c r="G99" i="1"/>
  <c r="L98" i="1"/>
  <c r="G98" i="1"/>
  <c r="L97" i="1"/>
  <c r="G97" i="1"/>
  <c r="L92" i="1"/>
  <c r="G92" i="1"/>
  <c r="L91" i="1"/>
  <c r="G91" i="1"/>
  <c r="L90" i="1"/>
  <c r="G90" i="1"/>
  <c r="L85" i="1"/>
  <c r="G85" i="1"/>
  <c r="L84" i="1"/>
  <c r="G84" i="1"/>
  <c r="L83" i="1"/>
  <c r="G83" i="1"/>
  <c r="L56" i="1"/>
  <c r="G56" i="1"/>
  <c r="L55" i="1"/>
  <c r="G55" i="1"/>
  <c r="L54" i="1"/>
  <c r="G54" i="1"/>
  <c r="L49" i="1"/>
  <c r="G49" i="1"/>
  <c r="L48" i="1"/>
  <c r="G48" i="1"/>
  <c r="G47" i="1"/>
  <c r="L42" i="1"/>
  <c r="G42" i="1"/>
  <c r="L41" i="1"/>
  <c r="G41" i="1"/>
  <c r="L40" i="1"/>
  <c r="G40" i="1"/>
  <c r="L35" i="1"/>
  <c r="G35" i="1"/>
  <c r="L34" i="1"/>
  <c r="G34" i="1"/>
  <c r="L33" i="1"/>
  <c r="G33" i="1"/>
  <c r="L28" i="1"/>
  <c r="G28" i="1"/>
  <c r="L27" i="1"/>
  <c r="G27" i="1"/>
  <c r="L26" i="1"/>
  <c r="G26" i="1"/>
  <c r="L21" i="1"/>
  <c r="G21" i="1"/>
  <c r="L20" i="1"/>
  <c r="G20" i="1"/>
  <c r="L19" i="1"/>
  <c r="G19" i="1"/>
  <c r="L12" i="1"/>
  <c r="L13" i="1"/>
  <c r="L14" i="1"/>
  <c r="G13" i="1"/>
  <c r="G14" i="1"/>
  <c r="G12" i="1"/>
</calcChain>
</file>

<file path=xl/sharedStrings.xml><?xml version="1.0" encoding="utf-8"?>
<sst xmlns="http://schemas.openxmlformats.org/spreadsheetml/2006/main" count="836" uniqueCount="76">
  <si>
    <t>chrome dev tools</t>
  </si>
  <si>
    <t>page load speed</t>
  </si>
  <si>
    <t>tool</t>
  </si>
  <si>
    <t>settings</t>
  </si>
  <si>
    <t>network</t>
  </si>
  <si>
    <t>cpu</t>
  </si>
  <si>
    <t>4x slowdown</t>
  </si>
  <si>
    <t>slow 4g</t>
  </si>
  <si>
    <t xml:space="preserve">screenshots </t>
  </si>
  <si>
    <t>on</t>
  </si>
  <si>
    <t>landing page</t>
  </si>
  <si>
    <t>desktop</t>
  </si>
  <si>
    <t>avg</t>
  </si>
  <si>
    <t>mobile</t>
  </si>
  <si>
    <t>lighthouse</t>
  </si>
  <si>
    <t>lcp</t>
  </si>
  <si>
    <t>cls</t>
  </si>
  <si>
    <t>fcp</t>
  </si>
  <si>
    <t>inp</t>
  </si>
  <si>
    <t>ttfb?</t>
  </si>
  <si>
    <t>warning count</t>
  </si>
  <si>
    <t>performance</t>
  </si>
  <si>
    <t>accessibility</t>
  </si>
  <si>
    <t>best practices</t>
  </si>
  <si>
    <t>seo</t>
  </si>
  <si>
    <t>tbt</t>
  </si>
  <si>
    <t>speed index - visual progression</t>
  </si>
  <si>
    <t>compare number of warnings</t>
  </si>
  <si>
    <t>oferta</t>
  </si>
  <si>
    <t>reserve form</t>
  </si>
  <si>
    <t>reservations page</t>
  </si>
  <si>
    <t>login</t>
  </si>
  <si>
    <t>register</t>
  </si>
  <si>
    <t>1700px</t>
  </si>
  <si>
    <t>440px</t>
  </si>
  <si>
    <t>Network throttling: 40 ms TCP RTT, 10,240 kb/s throughput (Simulated</t>
  </si>
  <si>
    <t>2e</t>
  </si>
  <si>
    <t>1e 4w</t>
  </si>
  <si>
    <t>si</t>
  </si>
  <si>
    <t>fast 4g</t>
  </si>
  <si>
    <t>reservation page</t>
  </si>
  <si>
    <t>cars page</t>
  </si>
  <si>
    <t>contact</t>
  </si>
  <si>
    <t>add car</t>
  </si>
  <si>
    <t>800px</t>
  </si>
  <si>
    <t>1352px</t>
  </si>
  <si>
    <t>ms</t>
  </si>
  <si>
    <t>s</t>
  </si>
  <si>
    <t>4e 2w</t>
  </si>
  <si>
    <t>3e</t>
  </si>
  <si>
    <t>3e 2w</t>
  </si>
  <si>
    <t>4e</t>
  </si>
  <si>
    <t>2e 1w</t>
  </si>
  <si>
    <t>Network throttling: 150 ms TCP RTT, 1,638.4 kb/s throughput (Simulated)</t>
  </si>
  <si>
    <t>m</t>
  </si>
  <si>
    <t>d</t>
  </si>
  <si>
    <t>3e 1w</t>
  </si>
  <si>
    <t>1e 1w</t>
  </si>
  <si>
    <t>2e 2w</t>
  </si>
  <si>
    <t>2w</t>
  </si>
  <si>
    <t>6e</t>
  </si>
  <si>
    <t>5e</t>
  </si>
  <si>
    <t>1e 2w</t>
  </si>
  <si>
    <t>tailwind</t>
  </si>
  <si>
    <t>6e 1w</t>
  </si>
  <si>
    <t>unused css</t>
  </si>
  <si>
    <t>4e 1w</t>
  </si>
  <si>
    <t>bs</t>
  </si>
  <si>
    <t>login to add car</t>
  </si>
  <si>
    <t>tw</t>
  </si>
  <si>
    <t>dektop</t>
  </si>
  <si>
    <t>1,63s</t>
  </si>
  <si>
    <t>login add car</t>
  </si>
  <si>
    <t>login reservation</t>
  </si>
  <si>
    <t>return to home page</t>
  </si>
  <si>
    <t>return to home pg, no reload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</si>
</sst>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sz val="9"/>
      <color rgb="FF424242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2" fontId="0" fillId="4" borderId="0" xfId="0" applyNumberFormat="1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EF90-6077-4A9E-98E0-17FDEB0DD2AD}">
  <dimension ref="B3:AC179"/>
  <sheetViews>
    <sheetView topLeftCell="O70" workbookViewId="0">
      <selection activeCell="V104" sqref="V104"/>
    </sheetView>
  </sheetViews>
  <sheetFormatPr defaultRowHeight="15" x14ac:dyDescent="0.25"/>
  <cols>
    <col min="2" max="2" width="13.28515625" bestFit="1" customWidth="1"/>
    <col min="3" max="3" width="20.5703125" bestFit="1" customWidth="1"/>
    <col min="4" max="4" width="9.85546875" customWidth="1"/>
    <col min="7" max="7" width="9.85546875" bestFit="1" customWidth="1"/>
    <col min="8" max="8" width="9.85546875" customWidth="1"/>
    <col min="14" max="14" width="13.7109375" bestFit="1" customWidth="1"/>
    <col min="15" max="15" width="12" bestFit="1" customWidth="1"/>
    <col min="16" max="16" width="16.85546875" bestFit="1" customWidth="1"/>
    <col min="18" max="18" width="12.28515625" bestFit="1" customWidth="1"/>
    <col min="23" max="23" width="9.85546875" bestFit="1" customWidth="1"/>
  </cols>
  <sheetData>
    <row r="3" spans="2:25" x14ac:dyDescent="0.25">
      <c r="B3" t="s">
        <v>63</v>
      </c>
      <c r="C3" t="s">
        <v>1</v>
      </c>
      <c r="O3" t="s">
        <v>63</v>
      </c>
      <c r="P3" t="s">
        <v>1</v>
      </c>
    </row>
    <row r="4" spans="2:25" x14ac:dyDescent="0.25">
      <c r="B4" t="s">
        <v>2</v>
      </c>
      <c r="C4" t="s">
        <v>0</v>
      </c>
      <c r="O4" t="s">
        <v>2</v>
      </c>
      <c r="P4" t="s">
        <v>0</v>
      </c>
    </row>
    <row r="6" spans="2:25" x14ac:dyDescent="0.25">
      <c r="B6" t="s">
        <v>3</v>
      </c>
      <c r="O6" t="s">
        <v>3</v>
      </c>
    </row>
    <row r="7" spans="2:25" x14ac:dyDescent="0.25">
      <c r="B7" t="s">
        <v>4</v>
      </c>
      <c r="C7" t="s">
        <v>7</v>
      </c>
      <c r="O7" t="s">
        <v>4</v>
      </c>
      <c r="P7" t="s">
        <v>7</v>
      </c>
    </row>
    <row r="8" spans="2:25" x14ac:dyDescent="0.25">
      <c r="B8" t="s">
        <v>5</v>
      </c>
      <c r="C8" t="s">
        <v>6</v>
      </c>
      <c r="O8" t="s">
        <v>5</v>
      </c>
      <c r="P8" t="s">
        <v>6</v>
      </c>
    </row>
    <row r="9" spans="2:25" x14ac:dyDescent="0.25">
      <c r="B9" t="s">
        <v>8</v>
      </c>
      <c r="C9" t="s">
        <v>9</v>
      </c>
      <c r="E9" t="s">
        <v>33</v>
      </c>
      <c r="J9" t="s">
        <v>34</v>
      </c>
      <c r="O9" t="s">
        <v>8</v>
      </c>
      <c r="P9" t="s">
        <v>9</v>
      </c>
      <c r="R9" t="s">
        <v>33</v>
      </c>
      <c r="W9" t="s">
        <v>34</v>
      </c>
    </row>
    <row r="10" spans="2:25" x14ac:dyDescent="0.25">
      <c r="D10" t="s">
        <v>11</v>
      </c>
      <c r="E10" t="s">
        <v>45</v>
      </c>
      <c r="I10" t="s">
        <v>13</v>
      </c>
      <c r="J10" t="s">
        <v>44</v>
      </c>
      <c r="Q10" t="s">
        <v>11</v>
      </c>
      <c r="R10" t="s">
        <v>45</v>
      </c>
      <c r="V10" t="s">
        <v>13</v>
      </c>
      <c r="W10" t="s">
        <v>44</v>
      </c>
    </row>
    <row r="11" spans="2:25" x14ac:dyDescent="0.25">
      <c r="C11" t="s">
        <v>10</v>
      </c>
      <c r="D11">
        <v>1</v>
      </c>
      <c r="E11">
        <v>2</v>
      </c>
      <c r="F11">
        <v>3</v>
      </c>
      <c r="G11" t="s">
        <v>12</v>
      </c>
      <c r="I11">
        <v>1</v>
      </c>
      <c r="J11">
        <v>2</v>
      </c>
      <c r="K11">
        <v>3</v>
      </c>
      <c r="L11" t="s">
        <v>12</v>
      </c>
      <c r="P11" t="s">
        <v>10</v>
      </c>
      <c r="Q11">
        <v>1</v>
      </c>
      <c r="R11">
        <v>2</v>
      </c>
      <c r="S11">
        <v>3</v>
      </c>
      <c r="T11" t="s">
        <v>12</v>
      </c>
      <c r="V11">
        <v>1</v>
      </c>
      <c r="W11">
        <v>2</v>
      </c>
      <c r="X11">
        <v>3</v>
      </c>
      <c r="Y11" t="s">
        <v>12</v>
      </c>
    </row>
    <row r="12" spans="2:25" x14ac:dyDescent="0.25">
      <c r="B12" t="s">
        <v>15</v>
      </c>
      <c r="D12">
        <v>4.45</v>
      </c>
      <c r="E12">
        <v>4.46</v>
      </c>
      <c r="F12">
        <v>4.4800000000000004</v>
      </c>
      <c r="G12" s="3">
        <f>SUM(D12:F12)/3</f>
        <v>4.4633333333333338</v>
      </c>
      <c r="I12">
        <v>4.16</v>
      </c>
      <c r="J12">
        <v>4.17</v>
      </c>
      <c r="K12">
        <v>4.17</v>
      </c>
      <c r="L12" s="3">
        <f>SUM(I12:K12)/3</f>
        <v>4.166666666666667</v>
      </c>
      <c r="O12" t="s">
        <v>15</v>
      </c>
      <c r="Q12">
        <v>4.76</v>
      </c>
      <c r="R12">
        <v>4.7300000000000004</v>
      </c>
      <c r="S12">
        <v>4.6900000000000004</v>
      </c>
      <c r="T12" s="2">
        <f>SUM(Q12:S12)/3</f>
        <v>4.7266666666666666</v>
      </c>
      <c r="V12">
        <v>4.4000000000000004</v>
      </c>
      <c r="W12">
        <v>4.4000000000000004</v>
      </c>
      <c r="X12">
        <v>4.41</v>
      </c>
      <c r="Y12" s="2">
        <f>SUM(V12:X12)/3</f>
        <v>4.4033333333333333</v>
      </c>
    </row>
    <row r="13" spans="2:25" x14ac:dyDescent="0.25">
      <c r="B13" t="s">
        <v>16</v>
      </c>
      <c r="D13">
        <v>0.01</v>
      </c>
      <c r="E13">
        <v>0.01</v>
      </c>
      <c r="F13">
        <v>0.01</v>
      </c>
      <c r="G13" s="4">
        <f>SUM(D13:F13)/3</f>
        <v>0.01</v>
      </c>
      <c r="I13">
        <v>0.24</v>
      </c>
      <c r="J13">
        <v>0.24</v>
      </c>
      <c r="K13">
        <v>0.24</v>
      </c>
      <c r="L13" s="5">
        <f>SUM(I13:K13)/3</f>
        <v>0.24</v>
      </c>
      <c r="O13" t="s">
        <v>16</v>
      </c>
      <c r="Q13">
        <v>0.04</v>
      </c>
      <c r="R13">
        <v>0.04</v>
      </c>
      <c r="S13">
        <v>0.04</v>
      </c>
      <c r="T13" s="2">
        <f>SUM(Q13:S13)/3</f>
        <v>0.04</v>
      </c>
      <c r="V13">
        <v>0.08</v>
      </c>
      <c r="W13">
        <v>0.08</v>
      </c>
      <c r="X13">
        <v>0.08</v>
      </c>
      <c r="Y13" s="2">
        <f>SUM(V13:X13)/3</f>
        <v>0.08</v>
      </c>
    </row>
    <row r="14" spans="2:25" x14ac:dyDescent="0.25">
      <c r="B14" t="s">
        <v>17</v>
      </c>
      <c r="D14">
        <v>2.57</v>
      </c>
      <c r="E14">
        <v>2.54</v>
      </c>
      <c r="F14">
        <v>2.5</v>
      </c>
      <c r="G14" s="5">
        <f>SUM(D14:F14)/3</f>
        <v>2.5366666666666666</v>
      </c>
      <c r="I14">
        <v>2.4900000000000002</v>
      </c>
      <c r="J14">
        <v>2.5099999999999998</v>
      </c>
      <c r="K14">
        <v>2.5099999999999998</v>
      </c>
      <c r="L14" s="5">
        <f>SUM(I14:K14)/3</f>
        <v>2.5033333333333334</v>
      </c>
      <c r="O14" t="s">
        <v>17</v>
      </c>
      <c r="Q14">
        <v>2.74</v>
      </c>
      <c r="R14">
        <v>2.73</v>
      </c>
      <c r="S14">
        <v>2.74</v>
      </c>
      <c r="T14" s="2">
        <f>SUM(Q14:S14)/3</f>
        <v>2.7366666666666668</v>
      </c>
      <c r="V14">
        <v>2.71</v>
      </c>
      <c r="W14">
        <v>2.72</v>
      </c>
      <c r="X14">
        <v>2.72</v>
      </c>
      <c r="Y14" s="2">
        <f>SUM(V14:X14)/3</f>
        <v>2.7166666666666668</v>
      </c>
    </row>
    <row r="17" spans="2:27" x14ac:dyDescent="0.25">
      <c r="D17" t="s">
        <v>11</v>
      </c>
      <c r="I17" t="s">
        <v>13</v>
      </c>
      <c r="Q17" t="s">
        <v>11</v>
      </c>
      <c r="V17" t="s">
        <v>13</v>
      </c>
    </row>
    <row r="18" spans="2:27" x14ac:dyDescent="0.25">
      <c r="C18" t="s">
        <v>28</v>
      </c>
      <c r="D18">
        <v>1</v>
      </c>
      <c r="E18">
        <v>2</v>
      </c>
      <c r="F18">
        <v>3</v>
      </c>
      <c r="G18" t="s">
        <v>12</v>
      </c>
      <c r="I18">
        <v>1</v>
      </c>
      <c r="J18">
        <v>2</v>
      </c>
      <c r="K18">
        <v>3</v>
      </c>
      <c r="L18" t="s">
        <v>12</v>
      </c>
      <c r="P18" t="s">
        <v>28</v>
      </c>
      <c r="Q18">
        <v>1</v>
      </c>
      <c r="R18">
        <v>2</v>
      </c>
      <c r="S18">
        <v>3</v>
      </c>
      <c r="T18" t="s">
        <v>12</v>
      </c>
      <c r="V18">
        <v>1</v>
      </c>
      <c r="W18">
        <v>2</v>
      </c>
      <c r="X18">
        <v>3</v>
      </c>
      <c r="Y18" t="s">
        <v>12</v>
      </c>
    </row>
    <row r="19" spans="2:27" x14ac:dyDescent="0.25">
      <c r="B19" t="s">
        <v>15</v>
      </c>
      <c r="D19">
        <v>4.8600000000000003</v>
      </c>
      <c r="E19">
        <v>4.87</v>
      </c>
      <c r="F19">
        <v>4.93</v>
      </c>
      <c r="G19" s="3">
        <f>SUM(D19:F19)/3</f>
        <v>4.8866666666666667</v>
      </c>
      <c r="I19">
        <v>5.69</v>
      </c>
      <c r="J19">
        <v>5.63</v>
      </c>
      <c r="K19">
        <v>5.62</v>
      </c>
      <c r="L19" s="3">
        <f>SUM(I19:K19)/3</f>
        <v>5.6466666666666674</v>
      </c>
      <c r="O19" t="s">
        <v>15</v>
      </c>
      <c r="Q19">
        <v>4.96</v>
      </c>
      <c r="R19">
        <v>4.9800000000000004</v>
      </c>
      <c r="S19">
        <v>4.97</v>
      </c>
      <c r="T19" s="2">
        <f>SUM(Q19:S19)/3</f>
        <v>4.97</v>
      </c>
      <c r="V19">
        <v>5.85</v>
      </c>
      <c r="W19">
        <v>5.94</v>
      </c>
      <c r="X19">
        <v>5.85</v>
      </c>
      <c r="Y19" s="2">
        <f>SUM(V19:X19)/3</f>
        <v>5.88</v>
      </c>
    </row>
    <row r="20" spans="2:27" x14ac:dyDescent="0.25">
      <c r="B20" t="s">
        <v>16</v>
      </c>
      <c r="D20">
        <v>0.27</v>
      </c>
      <c r="E20">
        <v>0.28999999999999998</v>
      </c>
      <c r="F20">
        <v>0.27</v>
      </c>
      <c r="G20" s="3">
        <f>SUM(D20:F20)/3</f>
        <v>0.27666666666666667</v>
      </c>
      <c r="I20">
        <v>0.25</v>
      </c>
      <c r="J20">
        <v>0.25</v>
      </c>
      <c r="K20">
        <v>0.25</v>
      </c>
      <c r="L20" s="5">
        <f>SUM(I20:K20)/3</f>
        <v>0.25</v>
      </c>
      <c r="O20" t="s">
        <v>16</v>
      </c>
      <c r="Q20">
        <v>0.26</v>
      </c>
      <c r="R20">
        <v>0.26</v>
      </c>
      <c r="S20">
        <v>0.25</v>
      </c>
      <c r="T20" s="2">
        <f>SUM(Q20:S20)/3</f>
        <v>0.25666666666666665</v>
      </c>
      <c r="V20">
        <v>0.25</v>
      </c>
      <c r="W20">
        <v>0.25</v>
      </c>
      <c r="X20">
        <v>0.25</v>
      </c>
      <c r="Y20" s="2">
        <f>SUM(V20:X20)/3</f>
        <v>0.25</v>
      </c>
    </row>
    <row r="21" spans="2:27" x14ac:dyDescent="0.25">
      <c r="B21" t="s">
        <v>17</v>
      </c>
      <c r="D21">
        <v>2.84</v>
      </c>
      <c r="E21">
        <v>2.84</v>
      </c>
      <c r="F21">
        <v>2.89</v>
      </c>
      <c r="G21" s="5">
        <f>SUM(D21:F21)/3</f>
        <v>2.8566666666666669</v>
      </c>
      <c r="I21">
        <v>2.9</v>
      </c>
      <c r="J21">
        <v>2.84</v>
      </c>
      <c r="K21">
        <v>2.85</v>
      </c>
      <c r="L21" s="5">
        <f>SUM(I21:K21)/3</f>
        <v>2.8633333333333333</v>
      </c>
      <c r="O21" t="s">
        <v>17</v>
      </c>
      <c r="Q21">
        <v>3.12</v>
      </c>
      <c r="R21">
        <v>3.13</v>
      </c>
      <c r="S21">
        <v>3.13</v>
      </c>
      <c r="T21" s="2">
        <f>SUM(Q21:S21)/3</f>
        <v>3.1266666666666665</v>
      </c>
      <c r="V21">
        <v>3.13</v>
      </c>
      <c r="W21">
        <v>3.17</v>
      </c>
      <c r="X21">
        <v>3.12</v>
      </c>
      <c r="Y21" s="2">
        <f>SUM(V21:X21)/3</f>
        <v>3.14</v>
      </c>
    </row>
    <row r="24" spans="2:27" x14ac:dyDescent="0.25">
      <c r="D24" t="s">
        <v>11</v>
      </c>
      <c r="I24" t="s">
        <v>13</v>
      </c>
      <c r="Q24" t="s">
        <v>11</v>
      </c>
      <c r="V24" t="s">
        <v>13</v>
      </c>
    </row>
    <row r="25" spans="2:27" x14ac:dyDescent="0.25">
      <c r="C25" t="s">
        <v>29</v>
      </c>
      <c r="D25">
        <v>1</v>
      </c>
      <c r="E25">
        <v>2</v>
      </c>
      <c r="F25">
        <v>3</v>
      </c>
      <c r="G25" t="s">
        <v>12</v>
      </c>
      <c r="I25">
        <v>1</v>
      </c>
      <c r="J25">
        <v>2</v>
      </c>
      <c r="K25">
        <v>3</v>
      </c>
      <c r="L25" t="s">
        <v>12</v>
      </c>
      <c r="P25" t="s">
        <v>29</v>
      </c>
      <c r="Q25">
        <v>1</v>
      </c>
      <c r="R25">
        <v>2</v>
      </c>
      <c r="S25">
        <v>3</v>
      </c>
      <c r="T25" t="s">
        <v>12</v>
      </c>
      <c r="V25">
        <v>1</v>
      </c>
      <c r="W25">
        <v>2</v>
      </c>
      <c r="X25">
        <v>3</v>
      </c>
      <c r="Y25" t="s">
        <v>12</v>
      </c>
    </row>
    <row r="26" spans="2:27" x14ac:dyDescent="0.25">
      <c r="B26" t="s">
        <v>15</v>
      </c>
      <c r="D26">
        <v>3.25</v>
      </c>
      <c r="E26">
        <v>3.23</v>
      </c>
      <c r="F26">
        <v>3.25</v>
      </c>
      <c r="G26" s="5">
        <f>SUM(D26:F26)/3</f>
        <v>3.2433333333333336</v>
      </c>
      <c r="I26">
        <v>3.24</v>
      </c>
      <c r="J26">
        <v>3.24</v>
      </c>
      <c r="K26">
        <v>3.25</v>
      </c>
      <c r="L26" s="5">
        <f>SUM(I26:K26)/3</f>
        <v>3.2433333333333336</v>
      </c>
      <c r="O26" t="s">
        <v>15</v>
      </c>
      <c r="Q26">
        <v>3.54</v>
      </c>
      <c r="R26">
        <v>3.52</v>
      </c>
      <c r="S26">
        <v>3.54</v>
      </c>
      <c r="T26" s="2">
        <f>SUM(Q26:S26)/3</f>
        <v>3.5333333333333337</v>
      </c>
      <c r="V26">
        <v>3.51</v>
      </c>
      <c r="W26">
        <v>3.57</v>
      </c>
      <c r="X26">
        <v>3.52</v>
      </c>
      <c r="Y26" s="2">
        <f>SUM(V26:X26)/3</f>
        <v>3.5333333333333332</v>
      </c>
    </row>
    <row r="27" spans="2:27" x14ac:dyDescent="0.25">
      <c r="B27" t="s">
        <v>16</v>
      </c>
      <c r="D27">
        <v>0</v>
      </c>
      <c r="E27">
        <v>0</v>
      </c>
      <c r="F27">
        <v>0</v>
      </c>
      <c r="G27" s="4">
        <f>SUM(D27:F27)/3</f>
        <v>0</v>
      </c>
      <c r="I27">
        <v>0</v>
      </c>
      <c r="J27">
        <v>0</v>
      </c>
      <c r="K27">
        <v>0</v>
      </c>
      <c r="L27" s="4">
        <f>SUM(I27:K27)/3</f>
        <v>0</v>
      </c>
      <c r="O27" t="s">
        <v>16</v>
      </c>
      <c r="Q27">
        <v>0</v>
      </c>
      <c r="R27">
        <v>0</v>
      </c>
      <c r="S27">
        <v>0</v>
      </c>
      <c r="T27" s="2">
        <f>SUM(Q27:S27)/3</f>
        <v>0</v>
      </c>
      <c r="V27">
        <v>0</v>
      </c>
      <c r="W27">
        <v>0</v>
      </c>
      <c r="X27">
        <v>0</v>
      </c>
      <c r="Y27" s="2">
        <f>SUM(V27:X27)/3</f>
        <v>0</v>
      </c>
    </row>
    <row r="28" spans="2:27" x14ac:dyDescent="0.25">
      <c r="B28" t="s">
        <v>17</v>
      </c>
      <c r="D28">
        <v>3.25</v>
      </c>
      <c r="E28">
        <v>3.23</v>
      </c>
      <c r="F28">
        <v>3.25</v>
      </c>
      <c r="G28" s="3">
        <f>SUM(D28:F28)/3</f>
        <v>3.2433333333333336</v>
      </c>
      <c r="I28">
        <v>3.24</v>
      </c>
      <c r="J28">
        <v>3.24</v>
      </c>
      <c r="K28">
        <v>3.25</v>
      </c>
      <c r="L28" s="3">
        <f>SUM(I28:K28)/3</f>
        <v>3.2433333333333336</v>
      </c>
      <c r="O28" t="s">
        <v>17</v>
      </c>
      <c r="Q28">
        <v>3.54</v>
      </c>
      <c r="R28">
        <v>3.52</v>
      </c>
      <c r="S28">
        <v>3.54</v>
      </c>
      <c r="T28" s="2">
        <f>SUM(Q28:S28)/3</f>
        <v>3.5333333333333337</v>
      </c>
      <c r="V28">
        <v>3.51</v>
      </c>
      <c r="W28">
        <v>3.57</v>
      </c>
      <c r="X28">
        <v>3.52</v>
      </c>
      <c r="Y28" s="2">
        <f>SUM(V28:X28)/3</f>
        <v>3.5333333333333332</v>
      </c>
    </row>
    <row r="31" spans="2:27" x14ac:dyDescent="0.25">
      <c r="D31" t="s">
        <v>11</v>
      </c>
      <c r="I31" t="s">
        <v>13</v>
      </c>
      <c r="Q31" t="s">
        <v>11</v>
      </c>
      <c r="V31" t="s">
        <v>13</v>
      </c>
      <c r="Z31">
        <v>3</v>
      </c>
      <c r="AA31" t="s">
        <v>12</v>
      </c>
    </row>
    <row r="32" spans="2:27" x14ac:dyDescent="0.25">
      <c r="C32" t="s">
        <v>30</v>
      </c>
      <c r="D32">
        <v>1</v>
      </c>
      <c r="E32">
        <v>2</v>
      </c>
      <c r="F32">
        <v>3</v>
      </c>
      <c r="G32" t="s">
        <v>12</v>
      </c>
      <c r="I32">
        <v>1</v>
      </c>
      <c r="J32">
        <v>2</v>
      </c>
      <c r="K32">
        <v>3</v>
      </c>
      <c r="L32" t="s">
        <v>12</v>
      </c>
      <c r="P32" t="s">
        <v>30</v>
      </c>
      <c r="Q32">
        <v>1</v>
      </c>
      <c r="R32">
        <v>2</v>
      </c>
      <c r="S32">
        <v>3</v>
      </c>
      <c r="T32" t="s">
        <v>12</v>
      </c>
      <c r="V32">
        <v>1</v>
      </c>
      <c r="W32">
        <v>2</v>
      </c>
      <c r="X32">
        <v>3</v>
      </c>
      <c r="Y32" t="s">
        <v>12</v>
      </c>
      <c r="Z32">
        <v>4.17</v>
      </c>
      <c r="AA32" s="2">
        <f>SUM(X32:Z32)/3</f>
        <v>2.39</v>
      </c>
    </row>
    <row r="33" spans="2:27" x14ac:dyDescent="0.25">
      <c r="B33" t="s">
        <v>15</v>
      </c>
      <c r="D33">
        <v>2.79</v>
      </c>
      <c r="E33">
        <v>2.8</v>
      </c>
      <c r="F33">
        <v>2.81</v>
      </c>
      <c r="G33" s="5">
        <f>SUM(D33:F33)/3</f>
        <v>2.8000000000000003</v>
      </c>
      <c r="I33">
        <v>4.1399999999999997</v>
      </c>
      <c r="J33">
        <v>4.16</v>
      </c>
      <c r="K33">
        <v>4.1399999999999997</v>
      </c>
      <c r="L33" s="3">
        <f>SUM(I33:K33)/3</f>
        <v>4.1466666666666674</v>
      </c>
      <c r="O33" t="s">
        <v>15</v>
      </c>
      <c r="Q33">
        <v>3.07</v>
      </c>
      <c r="R33">
        <v>3.08</v>
      </c>
      <c r="S33">
        <v>3.07</v>
      </c>
      <c r="T33" s="2">
        <f>SUM(Q33:S33)/3</f>
        <v>3.0733333333333337</v>
      </c>
      <c r="V33">
        <v>3.08</v>
      </c>
      <c r="W33">
        <v>3.08</v>
      </c>
      <c r="X33">
        <v>3.12</v>
      </c>
      <c r="Y33" s="2">
        <f>SUM(V33:X33)/3</f>
        <v>3.0933333333333337</v>
      </c>
      <c r="Z33">
        <v>0.24</v>
      </c>
      <c r="AA33" s="2">
        <f>SUM(X33:Z33)/3</f>
        <v>2.1511111111111112</v>
      </c>
    </row>
    <row r="34" spans="2:27" x14ac:dyDescent="0.25">
      <c r="B34" t="s">
        <v>16</v>
      </c>
      <c r="D34">
        <v>0.02</v>
      </c>
      <c r="E34">
        <v>0.02</v>
      </c>
      <c r="F34">
        <v>0.02</v>
      </c>
      <c r="G34" s="4">
        <f>SUM(D34:F34)/3</f>
        <v>0.02</v>
      </c>
      <c r="I34">
        <v>0.08</v>
      </c>
      <c r="J34">
        <v>0.08</v>
      </c>
      <c r="K34">
        <v>0.08</v>
      </c>
      <c r="L34" s="4">
        <f>SUM(I34:K34)/3</f>
        <v>0.08</v>
      </c>
      <c r="O34" t="s">
        <v>16</v>
      </c>
      <c r="Q34">
        <v>0.03</v>
      </c>
      <c r="R34">
        <v>0.03</v>
      </c>
      <c r="S34">
        <v>0.03</v>
      </c>
      <c r="T34" s="2">
        <f>SUM(Q34:S34)/3</f>
        <v>0.03</v>
      </c>
      <c r="V34">
        <v>0.12</v>
      </c>
      <c r="W34">
        <v>0.12</v>
      </c>
      <c r="X34">
        <v>0.12</v>
      </c>
      <c r="Y34" s="2">
        <f>SUM(V34:X34)/3</f>
        <v>0.12</v>
      </c>
      <c r="Z34">
        <v>2.5099999999999998</v>
      </c>
      <c r="AA34" s="2">
        <f>SUM(X34:Z34)/3</f>
        <v>0.91666666666666663</v>
      </c>
    </row>
    <row r="35" spans="2:27" x14ac:dyDescent="0.25">
      <c r="B35" t="s">
        <v>17</v>
      </c>
      <c r="D35">
        <v>2.79</v>
      </c>
      <c r="E35">
        <v>2.8</v>
      </c>
      <c r="F35">
        <v>2.81</v>
      </c>
      <c r="G35" s="5">
        <f>SUM(D35:F35)/3</f>
        <v>2.8000000000000003</v>
      </c>
      <c r="I35">
        <v>2.82</v>
      </c>
      <c r="J35">
        <v>2.85</v>
      </c>
      <c r="K35">
        <v>2.83</v>
      </c>
      <c r="L35" s="5">
        <f>SUM(I35:K35)/3</f>
        <v>2.8333333333333335</v>
      </c>
      <c r="O35" t="s">
        <v>17</v>
      </c>
      <c r="Q35">
        <v>3.07</v>
      </c>
      <c r="R35">
        <v>3.08</v>
      </c>
      <c r="S35">
        <v>3.07</v>
      </c>
      <c r="T35" s="2">
        <f>SUM(Q35:S35)/3</f>
        <v>3.0733333333333337</v>
      </c>
      <c r="V35">
        <v>3.08</v>
      </c>
      <c r="W35">
        <v>3.08</v>
      </c>
      <c r="X35">
        <v>3.19</v>
      </c>
      <c r="Y35" s="2">
        <f>SUM(V35:X35)/3</f>
        <v>3.1166666666666667</v>
      </c>
    </row>
    <row r="38" spans="2:27" x14ac:dyDescent="0.25">
      <c r="D38" t="s">
        <v>11</v>
      </c>
      <c r="I38" t="s">
        <v>13</v>
      </c>
      <c r="Q38" t="s">
        <v>11</v>
      </c>
      <c r="V38" t="s">
        <v>13</v>
      </c>
    </row>
    <row r="39" spans="2:27" x14ac:dyDescent="0.25">
      <c r="C39" t="s">
        <v>41</v>
      </c>
      <c r="D39">
        <v>1</v>
      </c>
      <c r="E39">
        <v>2</v>
      </c>
      <c r="F39">
        <v>3</v>
      </c>
      <c r="G39" t="s">
        <v>12</v>
      </c>
      <c r="I39">
        <v>1</v>
      </c>
      <c r="J39">
        <v>2</v>
      </c>
      <c r="K39">
        <v>3</v>
      </c>
      <c r="L39" t="s">
        <v>12</v>
      </c>
      <c r="P39" t="s">
        <v>41</v>
      </c>
      <c r="Q39">
        <v>1</v>
      </c>
      <c r="R39">
        <v>2</v>
      </c>
      <c r="S39">
        <v>3</v>
      </c>
      <c r="T39" t="s">
        <v>12</v>
      </c>
      <c r="V39">
        <v>1</v>
      </c>
      <c r="W39">
        <v>2</v>
      </c>
      <c r="X39">
        <v>3</v>
      </c>
      <c r="Y39" t="s">
        <v>12</v>
      </c>
    </row>
    <row r="40" spans="2:27" x14ac:dyDescent="0.25">
      <c r="B40" t="s">
        <v>15</v>
      </c>
      <c r="D40">
        <v>2.81</v>
      </c>
      <c r="E40">
        <v>2.82</v>
      </c>
      <c r="F40">
        <v>2.81</v>
      </c>
      <c r="G40" s="5">
        <f>SUM(D40:F40)/3</f>
        <v>2.813333333333333</v>
      </c>
      <c r="I40">
        <v>2.83</v>
      </c>
      <c r="J40">
        <v>2.83</v>
      </c>
      <c r="K40">
        <v>2.84</v>
      </c>
      <c r="L40" s="5">
        <f>SUM(I40:K40)/3</f>
        <v>2.8333333333333335</v>
      </c>
      <c r="O40" t="s">
        <v>15</v>
      </c>
      <c r="Q40">
        <v>3.09</v>
      </c>
      <c r="R40">
        <v>3.08</v>
      </c>
      <c r="S40">
        <v>3.1</v>
      </c>
      <c r="T40" s="2">
        <f>SUM(Q40:S40)/3</f>
        <v>3.09</v>
      </c>
      <c r="V40">
        <v>3.15</v>
      </c>
      <c r="W40">
        <v>3.11</v>
      </c>
      <c r="X40">
        <v>3.1</v>
      </c>
      <c r="Y40" s="2">
        <f>SUM(V40:X40)/3</f>
        <v>3.1199999999999997</v>
      </c>
    </row>
    <row r="41" spans="2:27" x14ac:dyDescent="0.25">
      <c r="B41" t="s">
        <v>16</v>
      </c>
      <c r="D41">
        <v>0</v>
      </c>
      <c r="E41">
        <v>0</v>
      </c>
      <c r="F41">
        <v>0</v>
      </c>
      <c r="G41" s="4">
        <f>SUM(D41:F41)/3</f>
        <v>0</v>
      </c>
      <c r="I41">
        <v>0.03</v>
      </c>
      <c r="J41">
        <v>0.03</v>
      </c>
      <c r="K41">
        <v>0.03</v>
      </c>
      <c r="L41" s="4">
        <f>SUM(I41:K41)/3</f>
        <v>0.03</v>
      </c>
      <c r="O41" t="s">
        <v>16</v>
      </c>
      <c r="Q41">
        <v>0</v>
      </c>
      <c r="R41">
        <v>0</v>
      </c>
      <c r="S41">
        <v>0</v>
      </c>
      <c r="T41" s="2">
        <f>SUM(Q41:S41)/3</f>
        <v>0</v>
      </c>
      <c r="V41">
        <v>0.1</v>
      </c>
      <c r="W41">
        <v>0.1</v>
      </c>
      <c r="X41">
        <v>0.1</v>
      </c>
      <c r="Y41" s="2">
        <f>SUM(V41:X41)/3</f>
        <v>0.10000000000000002</v>
      </c>
    </row>
    <row r="42" spans="2:27" x14ac:dyDescent="0.25">
      <c r="B42" t="s">
        <v>17</v>
      </c>
      <c r="D42">
        <v>2.81</v>
      </c>
      <c r="E42">
        <v>2.82</v>
      </c>
      <c r="F42">
        <v>2.81</v>
      </c>
      <c r="G42" s="5">
        <f>SUM(D42:F42)/3</f>
        <v>2.813333333333333</v>
      </c>
      <c r="I42">
        <v>2.83</v>
      </c>
      <c r="J42">
        <v>2.83</v>
      </c>
      <c r="K42">
        <v>2.84</v>
      </c>
      <c r="L42" s="5">
        <f>SUM(I42:K42)/3</f>
        <v>2.8333333333333335</v>
      </c>
      <c r="O42" t="s">
        <v>17</v>
      </c>
      <c r="Q42">
        <v>3.09</v>
      </c>
      <c r="R42">
        <v>3.08</v>
      </c>
      <c r="S42">
        <v>3.1</v>
      </c>
      <c r="T42" s="2">
        <f>SUM(Q42:S42)/3</f>
        <v>3.09</v>
      </c>
      <c r="V42">
        <v>3.15</v>
      </c>
      <c r="W42">
        <v>3.11</v>
      </c>
      <c r="X42">
        <v>3.1</v>
      </c>
      <c r="Y42" s="2">
        <f>SUM(V42:X42)/3</f>
        <v>3.1199999999999997</v>
      </c>
    </row>
    <row r="45" spans="2:27" x14ac:dyDescent="0.25">
      <c r="D45" t="s">
        <v>11</v>
      </c>
      <c r="I45" t="s">
        <v>13</v>
      </c>
      <c r="Q45" t="s">
        <v>11</v>
      </c>
      <c r="V45" t="s">
        <v>13</v>
      </c>
    </row>
    <row r="46" spans="2:27" x14ac:dyDescent="0.25">
      <c r="C46" t="s">
        <v>31</v>
      </c>
      <c r="D46">
        <v>1</v>
      </c>
      <c r="E46">
        <v>2</v>
      </c>
      <c r="F46">
        <v>3</v>
      </c>
      <c r="G46" t="s">
        <v>12</v>
      </c>
      <c r="I46">
        <v>1</v>
      </c>
      <c r="J46">
        <v>2</v>
      </c>
      <c r="K46">
        <v>3</v>
      </c>
      <c r="L46" t="s">
        <v>12</v>
      </c>
      <c r="P46" t="s">
        <v>31</v>
      </c>
      <c r="Q46">
        <v>1</v>
      </c>
      <c r="R46">
        <v>2</v>
      </c>
      <c r="S46">
        <v>3</v>
      </c>
      <c r="T46" t="s">
        <v>12</v>
      </c>
      <c r="V46">
        <v>1</v>
      </c>
      <c r="W46">
        <v>2</v>
      </c>
      <c r="X46">
        <v>3</v>
      </c>
      <c r="Y46" t="s">
        <v>12</v>
      </c>
    </row>
    <row r="47" spans="2:27" x14ac:dyDescent="0.25">
      <c r="B47" t="s">
        <v>15</v>
      </c>
      <c r="D47">
        <v>6.2</v>
      </c>
      <c r="E47">
        <v>6.16</v>
      </c>
      <c r="F47">
        <v>6.19</v>
      </c>
      <c r="G47" s="3">
        <f>SUM(D47:F47)/3</f>
        <v>6.1833333333333336</v>
      </c>
      <c r="I47">
        <v>6.13</v>
      </c>
      <c r="J47">
        <v>6.1</v>
      </c>
      <c r="K47">
        <v>6.15</v>
      </c>
      <c r="L47" s="3">
        <f>SUM(I47:K47)/3</f>
        <v>6.1266666666666678</v>
      </c>
      <c r="O47" t="s">
        <v>15</v>
      </c>
      <c r="Q47">
        <v>6.42</v>
      </c>
      <c r="R47">
        <v>6.47</v>
      </c>
      <c r="S47">
        <v>6.49</v>
      </c>
      <c r="T47" s="2">
        <f>SUM(Q47:S47)/3</f>
        <v>6.4600000000000009</v>
      </c>
      <c r="V47">
        <v>6.39</v>
      </c>
      <c r="W47">
        <v>6.39</v>
      </c>
      <c r="X47">
        <v>6.39</v>
      </c>
      <c r="Y47" s="2">
        <f>SUM(V47:X47)/3</f>
        <v>6.39</v>
      </c>
    </row>
    <row r="48" spans="2:27" x14ac:dyDescent="0.25">
      <c r="B48" t="s">
        <v>16</v>
      </c>
      <c r="D48">
        <v>0</v>
      </c>
      <c r="E48">
        <v>0</v>
      </c>
      <c r="F48">
        <v>0</v>
      </c>
      <c r="G48" s="4">
        <f>SUM(D48:F48)/3</f>
        <v>0</v>
      </c>
      <c r="I48">
        <v>0</v>
      </c>
      <c r="J48">
        <v>0</v>
      </c>
      <c r="K48">
        <v>0</v>
      </c>
      <c r="L48" s="4">
        <f>SUM(I48:K48)/3</f>
        <v>0</v>
      </c>
      <c r="O48" t="s">
        <v>16</v>
      </c>
      <c r="Q48">
        <v>0</v>
      </c>
      <c r="R48">
        <v>0</v>
      </c>
      <c r="S48">
        <v>0</v>
      </c>
      <c r="T48" s="2">
        <f>SUM(Q48:S48)/3</f>
        <v>0</v>
      </c>
      <c r="V48">
        <v>0.28000000000000003</v>
      </c>
      <c r="W48">
        <v>0.28000000000000003</v>
      </c>
      <c r="X48">
        <v>0.28000000000000003</v>
      </c>
      <c r="Y48" s="2">
        <f>SUM(V48:X48)/3</f>
        <v>0.28000000000000003</v>
      </c>
    </row>
    <row r="49" spans="2:25" x14ac:dyDescent="0.25">
      <c r="B49" t="s">
        <v>17</v>
      </c>
      <c r="D49">
        <v>2.79</v>
      </c>
      <c r="E49">
        <v>2.78</v>
      </c>
      <c r="F49">
        <v>2.8</v>
      </c>
      <c r="G49" s="5">
        <f>SUM(D49:F49)/3</f>
        <v>2.7900000000000005</v>
      </c>
      <c r="I49">
        <v>2.77</v>
      </c>
      <c r="J49">
        <v>2.77</v>
      </c>
      <c r="K49">
        <v>2.8</v>
      </c>
      <c r="L49" s="5">
        <f>SUM(I49:K49)/3</f>
        <v>2.78</v>
      </c>
      <c r="O49" t="s">
        <v>17</v>
      </c>
      <c r="Q49">
        <v>3.07</v>
      </c>
      <c r="R49">
        <v>3.08</v>
      </c>
      <c r="S49">
        <v>3.1</v>
      </c>
      <c r="T49" s="2">
        <f>SUM(Q49:S49)/3</f>
        <v>3.0833333333333335</v>
      </c>
      <c r="V49">
        <v>3.04</v>
      </c>
      <c r="W49">
        <v>3.05</v>
      </c>
      <c r="X49">
        <v>3.05</v>
      </c>
      <c r="Y49" s="2">
        <f>SUM(V49:X49)/3</f>
        <v>3.0466666666666669</v>
      </c>
    </row>
    <row r="50" spans="2:25" x14ac:dyDescent="0.25">
      <c r="L50" s="2"/>
      <c r="Y50" s="2"/>
    </row>
    <row r="52" spans="2:25" x14ac:dyDescent="0.25">
      <c r="D52" t="s">
        <v>11</v>
      </c>
      <c r="I52" t="s">
        <v>13</v>
      </c>
      <c r="Q52" t="s">
        <v>11</v>
      </c>
      <c r="V52" t="s">
        <v>13</v>
      </c>
    </row>
    <row r="53" spans="2:25" x14ac:dyDescent="0.25">
      <c r="C53" t="s">
        <v>32</v>
      </c>
      <c r="D53">
        <v>1</v>
      </c>
      <c r="E53">
        <v>2</v>
      </c>
      <c r="F53">
        <v>3</v>
      </c>
      <c r="G53" t="s">
        <v>12</v>
      </c>
      <c r="I53">
        <v>1</v>
      </c>
      <c r="J53">
        <v>2</v>
      </c>
      <c r="K53">
        <v>3</v>
      </c>
      <c r="L53" t="s">
        <v>12</v>
      </c>
      <c r="P53" t="s">
        <v>32</v>
      </c>
      <c r="Q53">
        <v>1</v>
      </c>
      <c r="R53">
        <v>2</v>
      </c>
      <c r="S53">
        <v>3</v>
      </c>
      <c r="T53" t="s">
        <v>12</v>
      </c>
      <c r="V53">
        <v>1</v>
      </c>
      <c r="W53">
        <v>2</v>
      </c>
      <c r="X53">
        <v>3</v>
      </c>
      <c r="Y53" t="s">
        <v>12</v>
      </c>
    </row>
    <row r="54" spans="2:25" x14ac:dyDescent="0.25">
      <c r="B54" t="s">
        <v>15</v>
      </c>
      <c r="D54">
        <v>5.75</v>
      </c>
      <c r="E54">
        <v>5.74</v>
      </c>
      <c r="F54">
        <v>5.75</v>
      </c>
      <c r="G54" s="3">
        <f>SUM(D54:F54)/3</f>
        <v>5.746666666666667</v>
      </c>
      <c r="I54">
        <v>5.76</v>
      </c>
      <c r="J54">
        <v>5.75</v>
      </c>
      <c r="K54">
        <v>5.75</v>
      </c>
      <c r="L54" s="3">
        <f>SUM(I54:K54)/3</f>
        <v>5.753333333333333</v>
      </c>
      <c r="O54" t="s">
        <v>15</v>
      </c>
      <c r="Q54">
        <v>6.01</v>
      </c>
      <c r="R54">
        <v>6.06</v>
      </c>
      <c r="S54">
        <v>6.02</v>
      </c>
      <c r="T54" s="2">
        <f>SUM(Q54:S54)/3</f>
        <v>6.03</v>
      </c>
      <c r="V54">
        <v>6</v>
      </c>
      <c r="W54">
        <v>5.99</v>
      </c>
      <c r="X54">
        <v>6.01</v>
      </c>
      <c r="Y54" s="2">
        <f>SUM(V54:X54)/3</f>
        <v>6</v>
      </c>
    </row>
    <row r="55" spans="2:25" x14ac:dyDescent="0.25">
      <c r="B55" t="s">
        <v>16</v>
      </c>
      <c r="D55">
        <v>0</v>
      </c>
      <c r="E55">
        <v>0</v>
      </c>
      <c r="F55">
        <v>0</v>
      </c>
      <c r="G55" s="4">
        <f>SUM(D55:F55)/3</f>
        <v>0</v>
      </c>
      <c r="I55">
        <v>0</v>
      </c>
      <c r="J55">
        <v>0</v>
      </c>
      <c r="K55">
        <v>0</v>
      </c>
      <c r="L55" s="4">
        <f>SUM(I55:K55)/3</f>
        <v>0</v>
      </c>
      <c r="O55" t="s">
        <v>16</v>
      </c>
      <c r="Q55">
        <v>0</v>
      </c>
      <c r="R55">
        <v>0</v>
      </c>
      <c r="S55">
        <v>0</v>
      </c>
      <c r="T55" s="2">
        <f>SUM(Q55:S55)/3</f>
        <v>0</v>
      </c>
      <c r="V55">
        <v>0.4</v>
      </c>
      <c r="W55">
        <v>0.4</v>
      </c>
      <c r="X55">
        <v>0.4</v>
      </c>
      <c r="Y55" s="2">
        <f>SUM(V55:X55)/3</f>
        <v>0.40000000000000008</v>
      </c>
    </row>
    <row r="56" spans="2:25" x14ac:dyDescent="0.25">
      <c r="B56" t="s">
        <v>17</v>
      </c>
      <c r="D56">
        <v>2.77</v>
      </c>
      <c r="E56">
        <v>2.76</v>
      </c>
      <c r="F56">
        <v>2.77</v>
      </c>
      <c r="G56" s="5">
        <f>SUM(D56:F56)/3</f>
        <v>2.7666666666666662</v>
      </c>
      <c r="I56">
        <v>2.77</v>
      </c>
      <c r="J56">
        <v>2.79</v>
      </c>
      <c r="K56">
        <v>2.8</v>
      </c>
      <c r="L56" s="5">
        <f>SUM(I56:K56)/3</f>
        <v>2.7866666666666666</v>
      </c>
      <c r="O56" t="s">
        <v>17</v>
      </c>
      <c r="Q56">
        <v>3.05</v>
      </c>
      <c r="R56">
        <v>3.07</v>
      </c>
      <c r="S56">
        <v>3.05</v>
      </c>
      <c r="T56" s="2">
        <f>SUM(Q56:S56)/3</f>
        <v>3.0566666666666662</v>
      </c>
      <c r="V56">
        <v>3.04</v>
      </c>
      <c r="W56">
        <v>3.04</v>
      </c>
      <c r="X56">
        <v>3.04</v>
      </c>
      <c r="Y56" s="2">
        <f>SUM(V56:X56)/3</f>
        <v>3.0400000000000005</v>
      </c>
    </row>
    <row r="59" spans="2:25" x14ac:dyDescent="0.25">
      <c r="D59" t="s">
        <v>11</v>
      </c>
      <c r="I59" t="s">
        <v>13</v>
      </c>
      <c r="Q59" t="s">
        <v>11</v>
      </c>
      <c r="V59" t="s">
        <v>13</v>
      </c>
    </row>
    <row r="60" spans="2:25" x14ac:dyDescent="0.25">
      <c r="C60" t="s">
        <v>42</v>
      </c>
      <c r="D60">
        <v>1</v>
      </c>
      <c r="E60">
        <v>2</v>
      </c>
      <c r="F60">
        <v>3</v>
      </c>
      <c r="G60" t="s">
        <v>12</v>
      </c>
      <c r="I60">
        <v>1</v>
      </c>
      <c r="J60">
        <v>2</v>
      </c>
      <c r="K60">
        <v>3</v>
      </c>
      <c r="L60" t="s">
        <v>12</v>
      </c>
      <c r="P60" t="s">
        <v>42</v>
      </c>
      <c r="Q60">
        <v>1</v>
      </c>
      <c r="R60">
        <v>2</v>
      </c>
      <c r="S60">
        <v>3</v>
      </c>
      <c r="T60" t="s">
        <v>12</v>
      </c>
      <c r="V60">
        <v>1</v>
      </c>
      <c r="W60">
        <v>2</v>
      </c>
      <c r="X60">
        <v>3</v>
      </c>
      <c r="Y60" t="s">
        <v>12</v>
      </c>
    </row>
    <row r="61" spans="2:25" x14ac:dyDescent="0.25">
      <c r="B61" t="s">
        <v>15</v>
      </c>
      <c r="D61">
        <v>2.83</v>
      </c>
      <c r="E61">
        <v>2.84</v>
      </c>
      <c r="F61">
        <v>2.83</v>
      </c>
      <c r="G61" s="5">
        <f>SUM(D61:F61)/3</f>
        <v>2.8333333333333335</v>
      </c>
      <c r="I61">
        <v>2.85</v>
      </c>
      <c r="J61">
        <v>2.88</v>
      </c>
      <c r="K61">
        <v>2.85</v>
      </c>
      <c r="L61" s="5">
        <f>SUM(I61:K61)/3</f>
        <v>2.86</v>
      </c>
      <c r="O61" t="s">
        <v>15</v>
      </c>
      <c r="Q61">
        <v>3.09</v>
      </c>
      <c r="R61">
        <v>3.11</v>
      </c>
      <c r="S61">
        <v>3.1</v>
      </c>
      <c r="T61" s="2">
        <f>SUM(Q61:S61)/3</f>
        <v>3.0999999999999996</v>
      </c>
      <c r="V61">
        <v>3.1</v>
      </c>
      <c r="W61">
        <v>3.13</v>
      </c>
      <c r="X61">
        <v>3.14</v>
      </c>
      <c r="Y61" s="2">
        <f>SUM(V61:X61)/3</f>
        <v>3.1233333333333335</v>
      </c>
    </row>
    <row r="62" spans="2:25" x14ac:dyDescent="0.25">
      <c r="B62" t="s">
        <v>16</v>
      </c>
      <c r="D62">
        <v>0</v>
      </c>
      <c r="E62">
        <v>0</v>
      </c>
      <c r="F62">
        <v>0</v>
      </c>
      <c r="G62" s="4">
        <f>SUM(D62:F62)/3</f>
        <v>0</v>
      </c>
      <c r="I62">
        <v>0</v>
      </c>
      <c r="J62">
        <v>0</v>
      </c>
      <c r="K62">
        <v>0</v>
      </c>
      <c r="L62" s="4">
        <f>SUM(I62:K62)/3</f>
        <v>0</v>
      </c>
      <c r="O62" t="s">
        <v>16</v>
      </c>
      <c r="Q62">
        <v>0</v>
      </c>
      <c r="R62">
        <v>0</v>
      </c>
      <c r="S62">
        <v>0</v>
      </c>
      <c r="T62" s="2">
        <f>SUM(Q62:S62)/3</f>
        <v>0</v>
      </c>
      <c r="V62">
        <v>0</v>
      </c>
      <c r="W62">
        <v>0</v>
      </c>
      <c r="X62">
        <v>0</v>
      </c>
      <c r="Y62" s="2">
        <f>SUM(V62:X62)/3</f>
        <v>0</v>
      </c>
    </row>
    <row r="63" spans="2:25" x14ac:dyDescent="0.25">
      <c r="B63" t="s">
        <v>17</v>
      </c>
      <c r="D63">
        <v>2.83</v>
      </c>
      <c r="E63">
        <v>2.84</v>
      </c>
      <c r="F63">
        <v>2.83</v>
      </c>
      <c r="G63" s="5">
        <f>SUM(D63:F63)/3</f>
        <v>2.8333333333333335</v>
      </c>
      <c r="I63">
        <v>2.85</v>
      </c>
      <c r="J63">
        <v>2.88</v>
      </c>
      <c r="K63">
        <v>2.85</v>
      </c>
      <c r="L63" s="5">
        <f>SUM(I63:K63)/3</f>
        <v>2.86</v>
      </c>
      <c r="O63" t="s">
        <v>17</v>
      </c>
      <c r="Q63">
        <v>3.09</v>
      </c>
      <c r="R63">
        <v>3.11</v>
      </c>
      <c r="S63">
        <v>3.1</v>
      </c>
      <c r="T63" s="2">
        <f>SUM(Q63:S63)/3</f>
        <v>3.0999999999999996</v>
      </c>
      <c r="V63">
        <v>3.1</v>
      </c>
      <c r="W63">
        <v>3.13</v>
      </c>
      <c r="X63">
        <v>3.14</v>
      </c>
      <c r="Y63" s="2">
        <f>SUM(V63:X63)/3</f>
        <v>3.1233333333333335</v>
      </c>
    </row>
    <row r="64" spans="2:25" x14ac:dyDescent="0.25">
      <c r="G64" s="2"/>
      <c r="L64" s="2"/>
      <c r="T64" s="2"/>
      <c r="Y64" s="2"/>
    </row>
    <row r="65" spans="2:25" x14ac:dyDescent="0.25">
      <c r="G65" s="2"/>
      <c r="L65" s="2"/>
      <c r="T65" s="2"/>
      <c r="Y65" s="2"/>
    </row>
    <row r="66" spans="2:25" x14ac:dyDescent="0.25">
      <c r="D66" t="s">
        <v>11</v>
      </c>
      <c r="I66" t="s">
        <v>13</v>
      </c>
      <c r="Q66" t="s">
        <v>11</v>
      </c>
      <c r="V66" t="s">
        <v>13</v>
      </c>
    </row>
    <row r="67" spans="2:25" x14ac:dyDescent="0.25">
      <c r="C67" t="s">
        <v>43</v>
      </c>
      <c r="D67">
        <v>1</v>
      </c>
      <c r="E67">
        <v>2</v>
      </c>
      <c r="F67">
        <v>3</v>
      </c>
      <c r="G67" t="s">
        <v>12</v>
      </c>
      <c r="I67">
        <v>1</v>
      </c>
      <c r="J67">
        <v>2</v>
      </c>
      <c r="K67">
        <v>3</v>
      </c>
      <c r="L67" t="s">
        <v>12</v>
      </c>
      <c r="P67" t="s">
        <v>43</v>
      </c>
      <c r="Q67">
        <v>1</v>
      </c>
      <c r="R67">
        <v>2</v>
      </c>
      <c r="S67">
        <v>3</v>
      </c>
      <c r="T67" t="s">
        <v>12</v>
      </c>
      <c r="V67">
        <v>1</v>
      </c>
      <c r="W67">
        <v>2</v>
      </c>
      <c r="X67">
        <v>3</v>
      </c>
      <c r="Y67" t="s">
        <v>12</v>
      </c>
    </row>
    <row r="68" spans="2:25" x14ac:dyDescent="0.25">
      <c r="B68" t="s">
        <v>15</v>
      </c>
      <c r="D68">
        <v>2.79</v>
      </c>
      <c r="E68">
        <v>2.82</v>
      </c>
      <c r="F68">
        <v>2.8</v>
      </c>
      <c r="G68" s="5">
        <f>SUM(D68:F68)/3</f>
        <v>2.8033333333333332</v>
      </c>
      <c r="I68">
        <v>2.85</v>
      </c>
      <c r="J68">
        <v>2.84</v>
      </c>
      <c r="K68">
        <v>2.84</v>
      </c>
      <c r="L68" s="5">
        <f>SUM(I68:K68)/3</f>
        <v>2.8433333333333333</v>
      </c>
      <c r="O68" t="s">
        <v>15</v>
      </c>
      <c r="Q68">
        <v>3.08</v>
      </c>
      <c r="R68">
        <v>3.16</v>
      </c>
      <c r="S68">
        <v>3.06</v>
      </c>
      <c r="T68" s="2">
        <f>SUM(Q68:S68)/3</f>
        <v>3.1</v>
      </c>
      <c r="V68">
        <v>3.09</v>
      </c>
      <c r="W68">
        <v>3.08</v>
      </c>
      <c r="X68">
        <v>3.11</v>
      </c>
      <c r="Y68" s="2">
        <f>SUM(V68:X68)/3</f>
        <v>3.0933333333333333</v>
      </c>
    </row>
    <row r="69" spans="2:25" x14ac:dyDescent="0.25">
      <c r="B69" t="s">
        <v>16</v>
      </c>
      <c r="D69">
        <v>0</v>
      </c>
      <c r="E69">
        <v>0</v>
      </c>
      <c r="F69">
        <v>0</v>
      </c>
      <c r="G69" s="4">
        <f>SUM(D69:F69)/3</f>
        <v>0</v>
      </c>
      <c r="I69">
        <v>0</v>
      </c>
      <c r="J69">
        <v>0</v>
      </c>
      <c r="K69">
        <v>0</v>
      </c>
      <c r="L69" s="4">
        <f>SUM(I69:K69)/3</f>
        <v>0</v>
      </c>
      <c r="O69" t="s">
        <v>16</v>
      </c>
      <c r="Q69">
        <v>0</v>
      </c>
      <c r="R69">
        <v>0</v>
      </c>
      <c r="S69">
        <v>0</v>
      </c>
      <c r="T69" s="2">
        <f>SUM(Q69:S69)/3</f>
        <v>0</v>
      </c>
      <c r="V69">
        <v>0</v>
      </c>
      <c r="W69">
        <v>0</v>
      </c>
      <c r="X69">
        <v>0</v>
      </c>
      <c r="Y69" s="2">
        <f>SUM(V69:X69)/3</f>
        <v>0</v>
      </c>
    </row>
    <row r="70" spans="2:25" x14ac:dyDescent="0.25">
      <c r="B70" t="s">
        <v>17</v>
      </c>
      <c r="D70">
        <v>2.79</v>
      </c>
      <c r="E70">
        <v>2.82</v>
      </c>
      <c r="F70">
        <v>2.8</v>
      </c>
      <c r="G70" s="5">
        <f>SUM(D70:F70)/3</f>
        <v>2.8033333333333332</v>
      </c>
      <c r="I70">
        <v>2.85</v>
      </c>
      <c r="J70">
        <v>2.84</v>
      </c>
      <c r="K70">
        <v>2.84</v>
      </c>
      <c r="L70" s="5">
        <f>SUM(I70:K70)/3</f>
        <v>2.8433333333333333</v>
      </c>
      <c r="O70" t="s">
        <v>17</v>
      </c>
      <c r="Q70">
        <v>3.08</v>
      </c>
      <c r="R70">
        <v>3.16</v>
      </c>
      <c r="S70">
        <v>3.06</v>
      </c>
      <c r="T70" s="2">
        <f>SUM(Q70:S70)/3</f>
        <v>3.1</v>
      </c>
      <c r="V70">
        <v>3.09</v>
      </c>
      <c r="W70">
        <v>3.08</v>
      </c>
      <c r="X70">
        <v>3.11</v>
      </c>
      <c r="Y70" s="2">
        <f>SUM(V70:X70)/3</f>
        <v>3.0933333333333333</v>
      </c>
    </row>
    <row r="74" spans="2:25" x14ac:dyDescent="0.25">
      <c r="C74" t="s">
        <v>1</v>
      </c>
      <c r="P74" t="s">
        <v>1</v>
      </c>
      <c r="V74">
        <f>200+164+107</f>
        <v>471</v>
      </c>
    </row>
    <row r="75" spans="2:25" x14ac:dyDescent="0.25">
      <c r="B75" t="s">
        <v>2</v>
      </c>
      <c r="C75" t="s">
        <v>0</v>
      </c>
      <c r="O75" t="s">
        <v>2</v>
      </c>
      <c r="P75" t="s">
        <v>0</v>
      </c>
      <c r="T75">
        <f>2*(219 + 219*0.5)</f>
        <v>657</v>
      </c>
      <c r="V75">
        <v>171</v>
      </c>
    </row>
    <row r="76" spans="2:25" x14ac:dyDescent="0.25">
      <c r="T76">
        <f>T75-V74</f>
        <v>186</v>
      </c>
      <c r="U76">
        <f>T76-7-7</f>
        <v>172</v>
      </c>
    </row>
    <row r="77" spans="2:25" x14ac:dyDescent="0.25">
      <c r="B77" t="s">
        <v>3</v>
      </c>
      <c r="O77" t="s">
        <v>3</v>
      </c>
    </row>
    <row r="78" spans="2:25" x14ac:dyDescent="0.25">
      <c r="B78" t="s">
        <v>4</v>
      </c>
      <c r="C78" t="s">
        <v>39</v>
      </c>
      <c r="O78" t="s">
        <v>4</v>
      </c>
      <c r="P78" t="s">
        <v>39</v>
      </c>
    </row>
    <row r="79" spans="2:25" x14ac:dyDescent="0.25">
      <c r="B79" t="s">
        <v>5</v>
      </c>
      <c r="C79" t="s">
        <v>6</v>
      </c>
      <c r="O79" t="s">
        <v>5</v>
      </c>
      <c r="P79" t="s">
        <v>6</v>
      </c>
    </row>
    <row r="80" spans="2:25" x14ac:dyDescent="0.25">
      <c r="B80" t="s">
        <v>8</v>
      </c>
      <c r="C80" t="s">
        <v>9</v>
      </c>
      <c r="O80" t="s">
        <v>8</v>
      </c>
      <c r="P80" t="s">
        <v>9</v>
      </c>
    </row>
    <row r="81" spans="2:25" x14ac:dyDescent="0.25">
      <c r="D81" t="s">
        <v>11</v>
      </c>
      <c r="E81" t="s">
        <v>33</v>
      </c>
      <c r="I81" t="s">
        <v>13</v>
      </c>
      <c r="J81" t="s">
        <v>34</v>
      </c>
      <c r="Q81" t="s">
        <v>11</v>
      </c>
      <c r="R81" t="s">
        <v>33</v>
      </c>
      <c r="V81" t="s">
        <v>13</v>
      </c>
      <c r="W81" t="s">
        <v>34</v>
      </c>
    </row>
    <row r="82" spans="2:25" x14ac:dyDescent="0.25">
      <c r="C82" t="s">
        <v>10</v>
      </c>
      <c r="D82">
        <v>1</v>
      </c>
      <c r="E82">
        <v>2</v>
      </c>
      <c r="F82">
        <v>3</v>
      </c>
      <c r="G82" t="s">
        <v>12</v>
      </c>
      <c r="I82">
        <v>1</v>
      </c>
      <c r="J82">
        <v>2</v>
      </c>
      <c r="K82">
        <v>3</v>
      </c>
      <c r="L82" t="s">
        <v>12</v>
      </c>
      <c r="P82" t="s">
        <v>10</v>
      </c>
      <c r="Q82">
        <v>1</v>
      </c>
      <c r="R82">
        <v>2</v>
      </c>
      <c r="S82">
        <v>3</v>
      </c>
      <c r="T82" t="s">
        <v>12</v>
      </c>
      <c r="V82">
        <v>1</v>
      </c>
      <c r="W82">
        <v>2</v>
      </c>
      <c r="X82">
        <v>3</v>
      </c>
      <c r="Y82" t="s">
        <v>12</v>
      </c>
    </row>
    <row r="83" spans="2:25" x14ac:dyDescent="0.25">
      <c r="B83" t="s">
        <v>15</v>
      </c>
      <c r="D83">
        <v>1.31</v>
      </c>
      <c r="E83">
        <v>1.33</v>
      </c>
      <c r="F83">
        <v>1.33</v>
      </c>
      <c r="G83" s="2">
        <f>SUM(D83:F83)/3</f>
        <v>1.3233333333333335</v>
      </c>
      <c r="I83">
        <v>1.38</v>
      </c>
      <c r="J83">
        <v>1.36</v>
      </c>
      <c r="K83">
        <v>1.36</v>
      </c>
      <c r="L83" s="2">
        <f>SUM(I83:K83)/3</f>
        <v>1.3666666666666669</v>
      </c>
      <c r="O83" t="s">
        <v>15</v>
      </c>
      <c r="Q83">
        <v>1.32</v>
      </c>
      <c r="R83">
        <v>1.35</v>
      </c>
      <c r="S83">
        <v>1.37</v>
      </c>
      <c r="T83" s="2">
        <f>SUM(Q83:S83)/3</f>
        <v>1.3466666666666667</v>
      </c>
      <c r="V83">
        <v>1.4</v>
      </c>
      <c r="W83">
        <v>1.39</v>
      </c>
      <c r="X83">
        <v>1.48</v>
      </c>
      <c r="Y83" s="2">
        <f>SUM(V83:X83)/3</f>
        <v>1.4233333333333331</v>
      </c>
    </row>
    <row r="84" spans="2:25" x14ac:dyDescent="0.25">
      <c r="B84" t="s">
        <v>16</v>
      </c>
      <c r="D84">
        <v>0</v>
      </c>
      <c r="E84">
        <v>0</v>
      </c>
      <c r="F84">
        <v>0</v>
      </c>
      <c r="G84" s="2">
        <f>SUM(D84:F84)/3</f>
        <v>0</v>
      </c>
      <c r="I84">
        <v>0</v>
      </c>
      <c r="J84">
        <v>0</v>
      </c>
      <c r="K84">
        <v>0</v>
      </c>
      <c r="L84" s="2">
        <f>SUM(I84:K84)/3</f>
        <v>0</v>
      </c>
      <c r="O84" t="s">
        <v>16</v>
      </c>
      <c r="Q84">
        <v>0.04</v>
      </c>
      <c r="R84">
        <v>0.04</v>
      </c>
      <c r="S84">
        <v>0.04</v>
      </c>
      <c r="T84" s="2">
        <f>SUM(Q84:S84)/3</f>
        <v>0.04</v>
      </c>
      <c r="V84">
        <v>7.0000000000000007E-2</v>
      </c>
      <c r="W84">
        <v>7.0000000000000007E-2</v>
      </c>
      <c r="X84">
        <v>7.0000000000000007E-2</v>
      </c>
      <c r="Y84" s="2">
        <f>SUM(V84:X84)/3</f>
        <v>7.0000000000000007E-2</v>
      </c>
    </row>
    <row r="85" spans="2:25" x14ac:dyDescent="0.25">
      <c r="B85" t="s">
        <v>17</v>
      </c>
      <c r="D85">
        <v>1.1499999999999999</v>
      </c>
      <c r="E85">
        <v>1.1599999999999999</v>
      </c>
      <c r="F85">
        <v>1.1499999999999999</v>
      </c>
      <c r="G85" s="2">
        <f>SUM(D85:F85)/3</f>
        <v>1.1533333333333331</v>
      </c>
      <c r="I85">
        <v>1.1499999999999999</v>
      </c>
      <c r="J85">
        <v>1.1499999999999999</v>
      </c>
      <c r="K85">
        <v>1.1299999999999999</v>
      </c>
      <c r="L85" s="2">
        <f>SUM(I85:K85)/3</f>
        <v>1.1433333333333333</v>
      </c>
      <c r="O85" t="s">
        <v>17</v>
      </c>
      <c r="Q85">
        <v>1.1399999999999999</v>
      </c>
      <c r="R85">
        <v>1.18</v>
      </c>
      <c r="S85">
        <v>1.2</v>
      </c>
      <c r="T85" s="2">
        <f>SUM(Q85:S85)/3</f>
        <v>1.1733333333333331</v>
      </c>
      <c r="V85">
        <v>1.17</v>
      </c>
      <c r="W85">
        <v>1.19</v>
      </c>
      <c r="X85">
        <v>1.24</v>
      </c>
      <c r="Y85" s="2">
        <f>SUM(V85:X85)/3</f>
        <v>1.2</v>
      </c>
    </row>
    <row r="88" spans="2:25" x14ac:dyDescent="0.25">
      <c r="D88" t="s">
        <v>11</v>
      </c>
      <c r="I88" t="s">
        <v>13</v>
      </c>
      <c r="Q88" t="s">
        <v>11</v>
      </c>
      <c r="V88" t="s">
        <v>13</v>
      </c>
    </row>
    <row r="89" spans="2:25" x14ac:dyDescent="0.25">
      <c r="C89" t="s">
        <v>28</v>
      </c>
      <c r="D89">
        <v>1</v>
      </c>
      <c r="E89">
        <v>2</v>
      </c>
      <c r="F89">
        <v>3</v>
      </c>
      <c r="G89" t="s">
        <v>12</v>
      </c>
      <c r="I89">
        <v>1</v>
      </c>
      <c r="J89">
        <v>2</v>
      </c>
      <c r="K89">
        <v>3</v>
      </c>
      <c r="L89" t="s">
        <v>12</v>
      </c>
      <c r="P89" t="s">
        <v>28</v>
      </c>
      <c r="Q89">
        <v>1</v>
      </c>
      <c r="R89">
        <v>2</v>
      </c>
      <c r="S89">
        <v>3</v>
      </c>
      <c r="T89" t="s">
        <v>12</v>
      </c>
      <c r="V89">
        <v>1</v>
      </c>
      <c r="W89">
        <v>2</v>
      </c>
      <c r="X89">
        <v>3</v>
      </c>
      <c r="Y89" t="s">
        <v>12</v>
      </c>
    </row>
    <row r="90" spans="2:25" x14ac:dyDescent="0.25">
      <c r="B90" t="s">
        <v>15</v>
      </c>
      <c r="D90">
        <v>1.53</v>
      </c>
      <c r="E90">
        <v>1.36</v>
      </c>
      <c r="F90">
        <v>1.51</v>
      </c>
      <c r="G90" s="2">
        <f>SUM(D90:F90)/3</f>
        <v>1.4666666666666668</v>
      </c>
      <c r="I90">
        <v>1.55</v>
      </c>
      <c r="J90">
        <v>1.58</v>
      </c>
      <c r="K90">
        <v>1.55</v>
      </c>
      <c r="L90" s="2">
        <f>SUM(I90:K90)/3</f>
        <v>1.5599999999999998</v>
      </c>
      <c r="O90" t="s">
        <v>15</v>
      </c>
      <c r="Q90">
        <v>1.45</v>
      </c>
      <c r="R90">
        <v>1.46</v>
      </c>
      <c r="S90">
        <v>1.44</v>
      </c>
      <c r="T90" s="2">
        <f>SUM(Q90:S90)/3</f>
        <v>1.45</v>
      </c>
      <c r="V90">
        <v>1.63</v>
      </c>
      <c r="W90">
        <v>1.63</v>
      </c>
      <c r="X90">
        <v>1.63</v>
      </c>
      <c r="Y90" s="2">
        <f>SUM(V90:X90)/3</f>
        <v>1.63</v>
      </c>
    </row>
    <row r="91" spans="2:25" x14ac:dyDescent="0.25">
      <c r="B91" t="s">
        <v>16</v>
      </c>
      <c r="D91">
        <v>0.24</v>
      </c>
      <c r="E91">
        <v>0.32</v>
      </c>
      <c r="F91">
        <v>0.24</v>
      </c>
      <c r="G91" s="2">
        <f>SUM(D91:F91)/3</f>
        <v>0.26666666666666666</v>
      </c>
      <c r="I91">
        <v>0.63</v>
      </c>
      <c r="J91">
        <v>0.63</v>
      </c>
      <c r="K91">
        <v>0.62</v>
      </c>
      <c r="L91" s="2">
        <f>SUM(I91:K91)/3</f>
        <v>0.62666666666666659</v>
      </c>
      <c r="O91" t="s">
        <v>16</v>
      </c>
      <c r="Q91">
        <v>0.31</v>
      </c>
      <c r="R91">
        <v>0.23</v>
      </c>
      <c r="S91">
        <v>0.32</v>
      </c>
      <c r="T91" s="2">
        <f>SUM(Q91:S91)/3</f>
        <v>0.28666666666666668</v>
      </c>
      <c r="V91">
        <v>0.55000000000000004</v>
      </c>
      <c r="W91">
        <v>0.62</v>
      </c>
      <c r="X91">
        <v>0.62</v>
      </c>
      <c r="Y91" s="2">
        <f>SUM(V91:X91)/3</f>
        <v>0.59666666666666668</v>
      </c>
    </row>
    <row r="92" spans="2:25" x14ac:dyDescent="0.25">
      <c r="B92" t="s">
        <v>17</v>
      </c>
      <c r="D92">
        <v>1.0900000000000001</v>
      </c>
      <c r="E92">
        <v>1.08</v>
      </c>
      <c r="F92">
        <v>1.07</v>
      </c>
      <c r="G92" s="2">
        <f>SUM(D92:F92)/3</f>
        <v>1.08</v>
      </c>
      <c r="I92">
        <v>1.0900000000000001</v>
      </c>
      <c r="J92">
        <v>1.1100000000000001</v>
      </c>
      <c r="K92">
        <v>1.1000000000000001</v>
      </c>
      <c r="L92" s="2">
        <f>SUM(I92:K92)/3</f>
        <v>1.1000000000000001</v>
      </c>
      <c r="O92" t="s">
        <v>17</v>
      </c>
      <c r="Q92">
        <v>1.1299999999999999</v>
      </c>
      <c r="R92">
        <v>1.1299999999999999</v>
      </c>
      <c r="S92">
        <v>1.1299999999999999</v>
      </c>
      <c r="T92" s="2">
        <f>SUM(Q92:S92)/3</f>
        <v>1.1299999999999999</v>
      </c>
      <c r="V92">
        <v>1.1399999999999999</v>
      </c>
      <c r="W92">
        <v>1.1499999999999999</v>
      </c>
      <c r="X92">
        <v>1.1499999999999999</v>
      </c>
      <c r="Y92" s="2">
        <f>SUM(V92:X92)/3</f>
        <v>1.1466666666666667</v>
      </c>
    </row>
    <row r="95" spans="2:25" x14ac:dyDescent="0.25">
      <c r="D95" t="s">
        <v>11</v>
      </c>
      <c r="I95" t="s">
        <v>13</v>
      </c>
      <c r="Q95" t="s">
        <v>11</v>
      </c>
      <c r="V95" t="s">
        <v>13</v>
      </c>
    </row>
    <row r="96" spans="2:25" x14ac:dyDescent="0.25">
      <c r="C96" t="s">
        <v>29</v>
      </c>
      <c r="D96">
        <v>1</v>
      </c>
      <c r="E96">
        <v>2</v>
      </c>
      <c r="F96">
        <v>3</v>
      </c>
      <c r="G96" t="s">
        <v>12</v>
      </c>
      <c r="I96">
        <v>1</v>
      </c>
      <c r="J96">
        <v>2</v>
      </c>
      <c r="K96">
        <v>3</v>
      </c>
      <c r="L96" t="s">
        <v>12</v>
      </c>
      <c r="P96" t="s">
        <v>29</v>
      </c>
      <c r="Q96">
        <v>1</v>
      </c>
      <c r="R96">
        <v>2</v>
      </c>
      <c r="S96">
        <v>3</v>
      </c>
      <c r="T96" t="s">
        <v>12</v>
      </c>
      <c r="V96">
        <v>1</v>
      </c>
      <c r="W96">
        <v>2</v>
      </c>
      <c r="X96">
        <v>3</v>
      </c>
      <c r="Y96" t="s">
        <v>12</v>
      </c>
    </row>
    <row r="97" spans="2:25" x14ac:dyDescent="0.25">
      <c r="B97" t="s">
        <v>15</v>
      </c>
      <c r="D97">
        <v>1.18</v>
      </c>
      <c r="E97">
        <v>1.19</v>
      </c>
      <c r="F97">
        <v>1.18</v>
      </c>
      <c r="G97" s="2">
        <f>SUM(D97:F97)/3</f>
        <v>1.1833333333333333</v>
      </c>
      <c r="I97">
        <v>1.2</v>
      </c>
      <c r="J97">
        <v>1.19</v>
      </c>
      <c r="K97">
        <v>1.23</v>
      </c>
      <c r="L97" s="2">
        <f>SUM(I97:K97)/3</f>
        <v>1.2066666666666666</v>
      </c>
      <c r="O97" t="s">
        <v>15</v>
      </c>
      <c r="Q97">
        <v>1.24</v>
      </c>
      <c r="R97">
        <v>1.25</v>
      </c>
      <c r="S97">
        <v>1.23</v>
      </c>
      <c r="T97" s="2">
        <f>SUM(Q97:S97)/3</f>
        <v>1.24</v>
      </c>
      <c r="V97">
        <v>1.26</v>
      </c>
      <c r="W97">
        <v>1.26</v>
      </c>
      <c r="X97">
        <v>1.26</v>
      </c>
      <c r="Y97" s="2">
        <f>SUM(V97:X97)/3</f>
        <v>1.26</v>
      </c>
    </row>
    <row r="98" spans="2:25" x14ac:dyDescent="0.25">
      <c r="B98" t="s">
        <v>16</v>
      </c>
      <c r="D98">
        <v>0</v>
      </c>
      <c r="E98">
        <v>0</v>
      </c>
      <c r="F98">
        <v>0</v>
      </c>
      <c r="G98" s="2">
        <f>SUM(D98:F98)/3</f>
        <v>0</v>
      </c>
      <c r="I98">
        <v>0</v>
      </c>
      <c r="J98">
        <v>0</v>
      </c>
      <c r="K98">
        <v>0</v>
      </c>
      <c r="L98" s="2">
        <f>SUM(I98:K98)/3</f>
        <v>0</v>
      </c>
      <c r="O98" t="s">
        <v>16</v>
      </c>
      <c r="Q98">
        <v>0</v>
      </c>
      <c r="R98">
        <v>0</v>
      </c>
      <c r="S98">
        <v>0</v>
      </c>
      <c r="T98" s="2">
        <f>SUM(Q98:S98)/3</f>
        <v>0</v>
      </c>
      <c r="V98">
        <v>0.01</v>
      </c>
      <c r="W98">
        <v>0.01</v>
      </c>
      <c r="X98">
        <v>0.01</v>
      </c>
      <c r="Y98" s="2">
        <f>SUM(V98:X98)/3</f>
        <v>0.01</v>
      </c>
    </row>
    <row r="99" spans="2:25" x14ac:dyDescent="0.25">
      <c r="B99" t="s">
        <v>17</v>
      </c>
      <c r="D99">
        <v>1.18</v>
      </c>
      <c r="E99">
        <v>1.19</v>
      </c>
      <c r="F99">
        <v>1.18</v>
      </c>
      <c r="G99" s="2">
        <f>SUM(D99:F99)/3</f>
        <v>1.1833333333333333</v>
      </c>
      <c r="I99">
        <v>1.2</v>
      </c>
      <c r="J99">
        <v>1.19</v>
      </c>
      <c r="K99">
        <v>1.23</v>
      </c>
      <c r="L99" s="2">
        <f>SUM(I99:K99)/3</f>
        <v>1.2066666666666666</v>
      </c>
      <c r="O99" t="s">
        <v>17</v>
      </c>
      <c r="Q99">
        <v>1.24</v>
      </c>
      <c r="R99">
        <v>1.25</v>
      </c>
      <c r="S99">
        <v>1.23</v>
      </c>
      <c r="T99" s="2">
        <f>SUM(Q99:S99)/3</f>
        <v>1.24</v>
      </c>
      <c r="V99">
        <v>1.26</v>
      </c>
      <c r="W99">
        <v>1.26</v>
      </c>
      <c r="X99">
        <v>1.26</v>
      </c>
      <c r="Y99" s="2">
        <f>SUM(V99:X99)/3</f>
        <v>1.26</v>
      </c>
    </row>
    <row r="102" spans="2:25" x14ac:dyDescent="0.25">
      <c r="D102" t="s">
        <v>11</v>
      </c>
      <c r="I102" t="s">
        <v>13</v>
      </c>
      <c r="Q102" t="s">
        <v>11</v>
      </c>
      <c r="V102" t="s">
        <v>13</v>
      </c>
    </row>
    <row r="103" spans="2:25" x14ac:dyDescent="0.25">
      <c r="C103" t="s">
        <v>30</v>
      </c>
      <c r="D103">
        <v>1</v>
      </c>
      <c r="E103">
        <v>2</v>
      </c>
      <c r="F103">
        <v>3</v>
      </c>
      <c r="G103" t="s">
        <v>12</v>
      </c>
      <c r="I103">
        <v>1</v>
      </c>
      <c r="J103">
        <v>2</v>
      </c>
      <c r="K103">
        <v>3</v>
      </c>
      <c r="L103" t="s">
        <v>12</v>
      </c>
      <c r="P103" t="s">
        <v>30</v>
      </c>
      <c r="Q103">
        <v>1</v>
      </c>
      <c r="R103">
        <v>2</v>
      </c>
      <c r="S103">
        <v>3</v>
      </c>
      <c r="T103" t="s">
        <v>12</v>
      </c>
      <c r="V103">
        <v>1</v>
      </c>
      <c r="W103">
        <v>2</v>
      </c>
      <c r="X103">
        <v>3</v>
      </c>
      <c r="Y103" t="s">
        <v>12</v>
      </c>
    </row>
    <row r="104" spans="2:25" x14ac:dyDescent="0.25">
      <c r="B104" t="s">
        <v>15</v>
      </c>
      <c r="D104">
        <v>1.01</v>
      </c>
      <c r="E104">
        <v>1.02</v>
      </c>
      <c r="F104">
        <v>1.02</v>
      </c>
      <c r="G104" s="2">
        <f>SUM(D104:F104)/3</f>
        <v>1.0166666666666668</v>
      </c>
      <c r="I104">
        <v>1.54</v>
      </c>
      <c r="J104">
        <v>1.55</v>
      </c>
      <c r="K104">
        <v>1.59</v>
      </c>
      <c r="L104" s="2">
        <f>SUM(I104:K104)/3</f>
        <v>1.5599999999999998</v>
      </c>
      <c r="O104" t="s">
        <v>15</v>
      </c>
      <c r="Q104">
        <v>1.08</v>
      </c>
      <c r="R104">
        <v>1.0900000000000001</v>
      </c>
      <c r="S104">
        <v>1.0900000000000001</v>
      </c>
      <c r="T104" s="2">
        <f>SUM(Q104:S104)/3</f>
        <v>1.0866666666666667</v>
      </c>
      <c r="V104">
        <v>1.1200000000000001</v>
      </c>
      <c r="W104">
        <v>1.0900000000000001</v>
      </c>
      <c r="X104">
        <v>1.1100000000000001</v>
      </c>
      <c r="Y104" s="2">
        <f>SUM(V104:X104)/3</f>
        <v>1.1066666666666667</v>
      </c>
    </row>
    <row r="105" spans="2:25" x14ac:dyDescent="0.25">
      <c r="B105" t="s">
        <v>16</v>
      </c>
      <c r="D105">
        <v>0.02</v>
      </c>
      <c r="E105">
        <v>0.02</v>
      </c>
      <c r="F105">
        <v>0.02</v>
      </c>
      <c r="G105" s="2">
        <f>SUM(D105:F105)/3</f>
        <v>0.02</v>
      </c>
      <c r="I105">
        <v>0.08</v>
      </c>
      <c r="J105">
        <v>0.08</v>
      </c>
      <c r="K105">
        <v>0.08</v>
      </c>
      <c r="L105" s="2">
        <f>SUM(I105:K105)/3</f>
        <v>0.08</v>
      </c>
      <c r="O105" t="s">
        <v>16</v>
      </c>
      <c r="Q105">
        <v>0.03</v>
      </c>
      <c r="R105">
        <v>0.03</v>
      </c>
      <c r="S105">
        <v>0.03</v>
      </c>
      <c r="T105" s="2">
        <f>SUM(Q105:S105)/3</f>
        <v>0.03</v>
      </c>
      <c r="V105">
        <v>0.12</v>
      </c>
      <c r="W105">
        <v>0.12</v>
      </c>
      <c r="X105">
        <v>0.12</v>
      </c>
      <c r="Y105" s="2">
        <f>SUM(V105:X105)/3</f>
        <v>0.12</v>
      </c>
    </row>
    <row r="106" spans="2:25" x14ac:dyDescent="0.25">
      <c r="B106" t="s">
        <v>17</v>
      </c>
      <c r="D106">
        <v>1.01</v>
      </c>
      <c r="E106">
        <v>1.02</v>
      </c>
      <c r="F106">
        <v>1.02</v>
      </c>
      <c r="G106" s="2">
        <f>SUM(D106:F106)/3</f>
        <v>1.0166666666666668</v>
      </c>
      <c r="I106">
        <v>1.03</v>
      </c>
      <c r="J106">
        <v>1.03</v>
      </c>
      <c r="K106">
        <v>1.06</v>
      </c>
      <c r="L106" s="2">
        <f>SUM(I106:K106)/3</f>
        <v>1.04</v>
      </c>
      <c r="O106" t="s">
        <v>17</v>
      </c>
      <c r="Q106">
        <v>1.08</v>
      </c>
      <c r="R106">
        <v>1.0900000000000001</v>
      </c>
      <c r="S106">
        <v>1.0900000000000001</v>
      </c>
      <c r="T106" s="2">
        <f>SUM(Q106:S106)/3</f>
        <v>1.0866666666666667</v>
      </c>
      <c r="V106">
        <v>1.1200000000000001</v>
      </c>
      <c r="W106">
        <v>1.0900000000000001</v>
      </c>
      <c r="X106">
        <v>1.1100000000000001</v>
      </c>
      <c r="Y106" s="2">
        <f>SUM(V106:X106)/3</f>
        <v>1.1066666666666667</v>
      </c>
    </row>
    <row r="109" spans="2:25" x14ac:dyDescent="0.25">
      <c r="D109" t="s">
        <v>11</v>
      </c>
      <c r="I109" t="s">
        <v>13</v>
      </c>
      <c r="Q109" t="s">
        <v>11</v>
      </c>
      <c r="V109" t="s">
        <v>13</v>
      </c>
    </row>
    <row r="110" spans="2:25" x14ac:dyDescent="0.25">
      <c r="C110" t="s">
        <v>41</v>
      </c>
      <c r="D110">
        <v>1</v>
      </c>
      <c r="E110">
        <v>2</v>
      </c>
      <c r="F110">
        <v>3</v>
      </c>
      <c r="G110" t="s">
        <v>12</v>
      </c>
      <c r="I110">
        <v>1</v>
      </c>
      <c r="J110">
        <v>2</v>
      </c>
      <c r="K110">
        <v>3</v>
      </c>
      <c r="L110" t="s">
        <v>12</v>
      </c>
      <c r="P110" t="s">
        <v>41</v>
      </c>
      <c r="Q110">
        <v>1</v>
      </c>
      <c r="R110">
        <v>2</v>
      </c>
      <c r="S110">
        <v>3</v>
      </c>
      <c r="T110" t="s">
        <v>12</v>
      </c>
      <c r="V110">
        <v>1</v>
      </c>
      <c r="W110">
        <v>2</v>
      </c>
      <c r="X110">
        <v>3</v>
      </c>
      <c r="Y110" t="s">
        <v>12</v>
      </c>
    </row>
    <row r="111" spans="2:25" x14ac:dyDescent="0.25">
      <c r="B111" t="s">
        <v>15</v>
      </c>
      <c r="D111">
        <v>1.02</v>
      </c>
      <c r="E111">
        <v>1.02</v>
      </c>
      <c r="F111">
        <v>1.03</v>
      </c>
      <c r="G111" s="2">
        <f>SUM(D111:F111)/3</f>
        <v>1.0233333333333334</v>
      </c>
      <c r="I111">
        <v>1.04</v>
      </c>
      <c r="J111">
        <v>1.06</v>
      </c>
      <c r="K111">
        <v>1.06</v>
      </c>
      <c r="L111" s="2">
        <f>SUM(I111:K111)/3</f>
        <v>1.0533333333333335</v>
      </c>
      <c r="O111" t="s">
        <v>15</v>
      </c>
      <c r="Q111">
        <v>1.0900000000000001</v>
      </c>
      <c r="R111">
        <v>1.0900000000000001</v>
      </c>
      <c r="S111">
        <v>1.1000000000000001</v>
      </c>
      <c r="T111" s="2">
        <f>SUM(Q111:S111)/3</f>
        <v>1.0933333333333335</v>
      </c>
      <c r="V111">
        <v>1.1399999999999999</v>
      </c>
      <c r="W111">
        <v>1.1200000000000001</v>
      </c>
      <c r="X111">
        <v>1.1000000000000001</v>
      </c>
      <c r="Y111" s="2">
        <f>SUM(V111:X111)/3</f>
        <v>1.1199999999999999</v>
      </c>
    </row>
    <row r="112" spans="2:25" x14ac:dyDescent="0.25">
      <c r="B112" t="s">
        <v>16</v>
      </c>
      <c r="D112">
        <v>0</v>
      </c>
      <c r="E112">
        <v>0</v>
      </c>
      <c r="F112">
        <v>0</v>
      </c>
      <c r="G112" s="2">
        <f>SUM(D112:F112)/3</f>
        <v>0</v>
      </c>
      <c r="I112">
        <v>0.03</v>
      </c>
      <c r="J112">
        <v>0.03</v>
      </c>
      <c r="K112">
        <v>0.03</v>
      </c>
      <c r="L112" s="2">
        <f>SUM(I112:K112)/3</f>
        <v>0.03</v>
      </c>
      <c r="O112" t="s">
        <v>16</v>
      </c>
      <c r="Q112">
        <v>0</v>
      </c>
      <c r="R112">
        <v>0</v>
      </c>
      <c r="S112">
        <v>0</v>
      </c>
      <c r="T112" s="2">
        <f>SUM(Q112:S112)/3</f>
        <v>0</v>
      </c>
      <c r="V112">
        <v>0.1</v>
      </c>
      <c r="W112">
        <v>0.1</v>
      </c>
      <c r="X112">
        <v>0.1</v>
      </c>
      <c r="Y112" s="2">
        <f>SUM(V112:X112)/3</f>
        <v>0.10000000000000002</v>
      </c>
    </row>
    <row r="113" spans="2:25" x14ac:dyDescent="0.25">
      <c r="B113" t="s">
        <v>17</v>
      </c>
      <c r="D113">
        <v>1.02</v>
      </c>
      <c r="E113">
        <v>1.02</v>
      </c>
      <c r="F113">
        <v>1.03</v>
      </c>
      <c r="G113" s="2">
        <f>SUM(D113:F113)/3</f>
        <v>1.0233333333333334</v>
      </c>
      <c r="I113">
        <v>1.04</v>
      </c>
      <c r="J113">
        <v>1.06</v>
      </c>
      <c r="K113">
        <v>1.06</v>
      </c>
      <c r="L113" s="2">
        <f>SUM(I113:K113)/3</f>
        <v>1.0533333333333335</v>
      </c>
      <c r="O113" t="s">
        <v>17</v>
      </c>
      <c r="Q113">
        <v>1.0900000000000001</v>
      </c>
      <c r="R113">
        <v>1.0900000000000001</v>
      </c>
      <c r="S113">
        <v>1.1000000000000001</v>
      </c>
      <c r="T113" s="2">
        <f>SUM(Q113:S113)/3</f>
        <v>1.0933333333333335</v>
      </c>
      <c r="V113">
        <v>1.1399999999999999</v>
      </c>
      <c r="W113">
        <v>1.1200000000000001</v>
      </c>
      <c r="X113">
        <v>1.1000000000000001</v>
      </c>
      <c r="Y113" s="2">
        <f>SUM(V113:X113)/3</f>
        <v>1.1199999999999999</v>
      </c>
    </row>
    <row r="116" spans="2:25" x14ac:dyDescent="0.25">
      <c r="D116" t="s">
        <v>11</v>
      </c>
      <c r="I116" t="s">
        <v>13</v>
      </c>
      <c r="Q116" t="s">
        <v>11</v>
      </c>
      <c r="V116" t="s">
        <v>13</v>
      </c>
    </row>
    <row r="117" spans="2:25" x14ac:dyDescent="0.25">
      <c r="C117" t="s">
        <v>31</v>
      </c>
      <c r="D117">
        <v>1</v>
      </c>
      <c r="E117">
        <v>2</v>
      </c>
      <c r="F117">
        <v>3</v>
      </c>
      <c r="G117" t="s">
        <v>12</v>
      </c>
      <c r="I117">
        <v>1</v>
      </c>
      <c r="J117">
        <v>2</v>
      </c>
      <c r="K117">
        <v>3</v>
      </c>
      <c r="L117" t="s">
        <v>12</v>
      </c>
      <c r="P117" t="s">
        <v>31</v>
      </c>
      <c r="Q117">
        <v>1</v>
      </c>
      <c r="R117">
        <v>2</v>
      </c>
      <c r="S117">
        <v>3</v>
      </c>
      <c r="T117" t="s">
        <v>12</v>
      </c>
      <c r="V117">
        <v>1</v>
      </c>
      <c r="W117">
        <v>2</v>
      </c>
      <c r="X117">
        <v>3</v>
      </c>
      <c r="Y117" t="s">
        <v>12</v>
      </c>
    </row>
    <row r="118" spans="2:25" x14ac:dyDescent="0.25">
      <c r="B118" t="s">
        <v>15</v>
      </c>
      <c r="D118">
        <v>1.64</v>
      </c>
      <c r="E118">
        <v>1.64</v>
      </c>
      <c r="F118">
        <v>1.64</v>
      </c>
      <c r="G118" s="2">
        <f>SUM(D118:F118)/3</f>
        <v>1.64</v>
      </c>
      <c r="I118">
        <v>1.65</v>
      </c>
      <c r="J118">
        <v>1.65</v>
      </c>
      <c r="K118">
        <v>1.63</v>
      </c>
      <c r="L118" s="2">
        <f>SUM(I118:K118)/3</f>
        <v>1.6433333333333333</v>
      </c>
      <c r="O118" t="s">
        <v>15</v>
      </c>
      <c r="Q118">
        <v>1.78</v>
      </c>
      <c r="R118">
        <v>1.74</v>
      </c>
      <c r="S118">
        <v>1.76</v>
      </c>
      <c r="T118" s="2">
        <f>SUM(Q118:S118)/3</f>
        <v>1.76</v>
      </c>
      <c r="V118">
        <v>1.75</v>
      </c>
      <c r="W118">
        <v>1.75</v>
      </c>
      <c r="X118">
        <v>1.75</v>
      </c>
      <c r="Y118" s="2">
        <f>SUM(V118:X118)/3</f>
        <v>1.75</v>
      </c>
    </row>
    <row r="119" spans="2:25" x14ac:dyDescent="0.25">
      <c r="B119" t="s">
        <v>16</v>
      </c>
      <c r="D119">
        <v>0</v>
      </c>
      <c r="E119">
        <v>0</v>
      </c>
      <c r="F119">
        <v>0</v>
      </c>
      <c r="G119" s="2">
        <f>SUM(D119:F119)/3</f>
        <v>0</v>
      </c>
      <c r="I119">
        <v>0</v>
      </c>
      <c r="J119">
        <v>0</v>
      </c>
      <c r="K119">
        <v>0</v>
      </c>
      <c r="L119" s="2">
        <f>SUM(I119:K119)/3</f>
        <v>0</v>
      </c>
      <c r="O119" t="s">
        <v>16</v>
      </c>
      <c r="Q119">
        <v>0</v>
      </c>
      <c r="R119">
        <v>0</v>
      </c>
      <c r="S119">
        <v>0</v>
      </c>
      <c r="T119" s="2">
        <f>SUM(Q119:S119)/3</f>
        <v>0</v>
      </c>
      <c r="V119">
        <v>0.28000000000000003</v>
      </c>
      <c r="W119">
        <v>0.28000000000000003</v>
      </c>
      <c r="X119">
        <v>0.28000000000000003</v>
      </c>
      <c r="Y119" s="2">
        <f>SUM(V119:X119)/3</f>
        <v>0.28000000000000003</v>
      </c>
    </row>
    <row r="120" spans="2:25" x14ac:dyDescent="0.25">
      <c r="B120" t="s">
        <v>17</v>
      </c>
      <c r="D120">
        <v>0.98599999999999999</v>
      </c>
      <c r="E120">
        <v>0.98899999999999999</v>
      </c>
      <c r="F120">
        <v>0.998</v>
      </c>
      <c r="G120" s="2">
        <f>SUM(D120:F120)/3</f>
        <v>0.99099999999999999</v>
      </c>
      <c r="I120">
        <v>0.998</v>
      </c>
      <c r="J120">
        <v>0.99399999999999999</v>
      </c>
      <c r="K120">
        <v>0.98099999999999998</v>
      </c>
      <c r="L120" s="2">
        <f>SUM(I120:K120)/3</f>
        <v>0.99099999999999999</v>
      </c>
      <c r="O120" t="s">
        <v>17</v>
      </c>
      <c r="Q120">
        <v>1.1000000000000001</v>
      </c>
      <c r="R120">
        <v>1.06</v>
      </c>
      <c r="S120">
        <v>1.08</v>
      </c>
      <c r="T120" s="2">
        <f>SUM(Q120:S120)/3</f>
        <v>1.08</v>
      </c>
      <c r="V120">
        <v>1.07</v>
      </c>
      <c r="W120">
        <v>1.08</v>
      </c>
      <c r="X120">
        <v>1.07</v>
      </c>
      <c r="Y120" s="2">
        <f>SUM(V120:X120)/3</f>
        <v>1.0733333333333335</v>
      </c>
    </row>
    <row r="123" spans="2:25" x14ac:dyDescent="0.25">
      <c r="D123" t="s">
        <v>11</v>
      </c>
      <c r="I123" t="s">
        <v>13</v>
      </c>
      <c r="Q123" t="s">
        <v>11</v>
      </c>
      <c r="V123" t="s">
        <v>13</v>
      </c>
    </row>
    <row r="124" spans="2:25" x14ac:dyDescent="0.25">
      <c r="C124" t="s">
        <v>32</v>
      </c>
      <c r="D124">
        <v>1</v>
      </c>
      <c r="E124">
        <v>2</v>
      </c>
      <c r="F124">
        <v>3</v>
      </c>
      <c r="G124" t="s">
        <v>12</v>
      </c>
      <c r="I124">
        <v>1</v>
      </c>
      <c r="J124">
        <v>2</v>
      </c>
      <c r="K124">
        <v>3</v>
      </c>
      <c r="L124" t="s">
        <v>12</v>
      </c>
      <c r="P124" t="s">
        <v>32</v>
      </c>
      <c r="Q124">
        <v>1</v>
      </c>
      <c r="R124">
        <v>2</v>
      </c>
      <c r="S124">
        <v>3</v>
      </c>
      <c r="T124" t="s">
        <v>12</v>
      </c>
      <c r="V124">
        <v>1</v>
      </c>
      <c r="W124">
        <v>2</v>
      </c>
      <c r="X124">
        <v>3</v>
      </c>
      <c r="Y124" t="s">
        <v>12</v>
      </c>
    </row>
    <row r="125" spans="2:25" x14ac:dyDescent="0.25">
      <c r="B125" t="s">
        <v>15</v>
      </c>
      <c r="D125">
        <v>1.56</v>
      </c>
      <c r="E125">
        <v>1.58</v>
      </c>
      <c r="F125">
        <v>1.57</v>
      </c>
      <c r="G125" s="2">
        <f>SUM(D125:F125)/3</f>
        <v>1.57</v>
      </c>
      <c r="I125">
        <v>1.57</v>
      </c>
      <c r="J125">
        <v>1.57</v>
      </c>
      <c r="K125">
        <v>1.54</v>
      </c>
      <c r="L125" s="2">
        <f>SUM(I125:K125)/3</f>
        <v>1.5599999999999998</v>
      </c>
      <c r="O125" t="s">
        <v>15</v>
      </c>
      <c r="Q125">
        <v>1.67</v>
      </c>
      <c r="R125">
        <v>1.69</v>
      </c>
      <c r="S125">
        <v>1.7</v>
      </c>
      <c r="T125" s="2">
        <f>SUM(Q125:S125)/3</f>
        <v>1.6866666666666665</v>
      </c>
      <c r="V125">
        <v>1.68</v>
      </c>
      <c r="W125">
        <v>1.68</v>
      </c>
      <c r="X125">
        <v>1.67</v>
      </c>
      <c r="Y125" s="2">
        <f>SUM(V125:X125)/3</f>
        <v>1.6766666666666665</v>
      </c>
    </row>
    <row r="126" spans="2:25" x14ac:dyDescent="0.25">
      <c r="B126" t="s">
        <v>16</v>
      </c>
      <c r="D126">
        <v>0</v>
      </c>
      <c r="E126">
        <v>0</v>
      </c>
      <c r="F126">
        <v>0</v>
      </c>
      <c r="G126" s="2">
        <f>SUM(D126:F126)/3</f>
        <v>0</v>
      </c>
      <c r="I126">
        <v>0</v>
      </c>
      <c r="J126">
        <v>0</v>
      </c>
      <c r="K126">
        <v>0</v>
      </c>
      <c r="L126" s="2">
        <f>SUM(I126:K126)/3</f>
        <v>0</v>
      </c>
      <c r="O126" t="s">
        <v>16</v>
      </c>
      <c r="Q126">
        <v>0</v>
      </c>
      <c r="R126">
        <v>0</v>
      </c>
      <c r="S126">
        <v>0</v>
      </c>
      <c r="T126" s="2">
        <f>SUM(Q126:S126)/3</f>
        <v>0</v>
      </c>
      <c r="V126">
        <v>0.4</v>
      </c>
      <c r="W126">
        <v>0.4</v>
      </c>
      <c r="X126">
        <v>0.4</v>
      </c>
      <c r="Y126" s="2">
        <f>SUM(V126:X126)/3</f>
        <v>0.40000000000000008</v>
      </c>
    </row>
    <row r="127" spans="2:25" x14ac:dyDescent="0.25">
      <c r="B127" t="s">
        <v>17</v>
      </c>
      <c r="D127">
        <v>0.97599999999999998</v>
      </c>
      <c r="E127">
        <v>0.99399999999999999</v>
      </c>
      <c r="F127">
        <v>1</v>
      </c>
      <c r="G127" s="2">
        <f>SUM(D127:F127)/3</f>
        <v>0.98999999999999988</v>
      </c>
      <c r="I127">
        <v>0.995</v>
      </c>
      <c r="J127">
        <v>0.99</v>
      </c>
      <c r="K127">
        <v>0.98199999999999998</v>
      </c>
      <c r="L127" s="2">
        <f>SUM(I127:K127)/3</f>
        <v>0.98899999999999988</v>
      </c>
      <c r="O127" t="s">
        <v>17</v>
      </c>
      <c r="Q127">
        <v>1.06</v>
      </c>
      <c r="R127">
        <v>1.08</v>
      </c>
      <c r="S127">
        <v>1.1000000000000001</v>
      </c>
      <c r="T127" s="2">
        <f>SUM(Q127:S127)/3</f>
        <v>1.08</v>
      </c>
      <c r="V127">
        <v>1.08</v>
      </c>
      <c r="W127">
        <v>1.06</v>
      </c>
      <c r="X127">
        <v>1.05</v>
      </c>
      <c r="Y127" s="2">
        <f>SUM(V127:X127)/3</f>
        <v>1.0633333333333335</v>
      </c>
    </row>
    <row r="130" spans="2:29" x14ac:dyDescent="0.25">
      <c r="D130" t="s">
        <v>11</v>
      </c>
      <c r="I130" t="s">
        <v>13</v>
      </c>
      <c r="Q130" t="s">
        <v>11</v>
      </c>
      <c r="V130" t="s">
        <v>13</v>
      </c>
    </row>
    <row r="131" spans="2:29" x14ac:dyDescent="0.25">
      <c r="C131" t="s">
        <v>42</v>
      </c>
      <c r="D131">
        <v>1</v>
      </c>
      <c r="E131">
        <v>2</v>
      </c>
      <c r="F131">
        <v>3</v>
      </c>
      <c r="G131" t="s">
        <v>12</v>
      </c>
      <c r="I131">
        <v>1</v>
      </c>
      <c r="J131">
        <v>2</v>
      </c>
      <c r="K131">
        <v>3</v>
      </c>
      <c r="L131" t="s">
        <v>12</v>
      </c>
      <c r="P131" t="s">
        <v>42</v>
      </c>
      <c r="Q131">
        <v>1</v>
      </c>
      <c r="R131">
        <v>2</v>
      </c>
      <c r="S131">
        <v>3</v>
      </c>
      <c r="T131" t="s">
        <v>12</v>
      </c>
      <c r="V131">
        <v>1</v>
      </c>
      <c r="W131">
        <v>2</v>
      </c>
      <c r="X131">
        <v>3</v>
      </c>
      <c r="Y131" t="s">
        <v>12</v>
      </c>
    </row>
    <row r="132" spans="2:29" x14ac:dyDescent="0.25">
      <c r="B132" t="s">
        <v>15</v>
      </c>
      <c r="D132">
        <v>1.05</v>
      </c>
      <c r="E132">
        <v>1.1100000000000001</v>
      </c>
      <c r="F132">
        <v>1.04</v>
      </c>
      <c r="G132" s="2">
        <f>SUM(D132:F132)/3</f>
        <v>1.0666666666666667</v>
      </c>
      <c r="I132">
        <v>1.07</v>
      </c>
      <c r="J132">
        <v>1.08</v>
      </c>
      <c r="K132">
        <v>1.07</v>
      </c>
      <c r="L132" s="2">
        <f>SUM(I132:K132)/3</f>
        <v>1.0733333333333335</v>
      </c>
      <c r="O132" t="s">
        <v>15</v>
      </c>
      <c r="Q132">
        <v>1.1100000000000001</v>
      </c>
      <c r="R132">
        <v>1.1299999999999999</v>
      </c>
      <c r="S132">
        <v>1.1200000000000001</v>
      </c>
      <c r="T132" s="2">
        <f>SUM(Q132:S132)/3</f>
        <v>1.1200000000000001</v>
      </c>
      <c r="V132">
        <v>1.1200000000000001</v>
      </c>
      <c r="W132">
        <v>1.1399999999999999</v>
      </c>
      <c r="X132">
        <v>1.1399999999999999</v>
      </c>
      <c r="Y132" s="2">
        <f>SUM(V132:X132)/3</f>
        <v>1.1333333333333331</v>
      </c>
    </row>
    <row r="133" spans="2:29" x14ac:dyDescent="0.25">
      <c r="B133" t="s">
        <v>16</v>
      </c>
      <c r="D133">
        <v>0</v>
      </c>
      <c r="E133">
        <v>0</v>
      </c>
      <c r="F133">
        <v>0</v>
      </c>
      <c r="G133" s="2">
        <f>SUM(D133:F133)/3</f>
        <v>0</v>
      </c>
      <c r="I133">
        <v>0</v>
      </c>
      <c r="J133">
        <v>0</v>
      </c>
      <c r="K133">
        <v>0</v>
      </c>
      <c r="L133" s="2">
        <f>SUM(I133:K133)/3</f>
        <v>0</v>
      </c>
      <c r="O133" t="s">
        <v>16</v>
      </c>
      <c r="Q133">
        <v>0</v>
      </c>
      <c r="R133">
        <v>0</v>
      </c>
      <c r="S133">
        <v>0</v>
      </c>
      <c r="T133" s="2">
        <f>SUM(Q133:S133)/3</f>
        <v>0</v>
      </c>
      <c r="V133">
        <v>0</v>
      </c>
      <c r="W133">
        <v>0</v>
      </c>
      <c r="X133">
        <v>0</v>
      </c>
      <c r="Y133" s="2">
        <f>SUM(V133:X133)/3</f>
        <v>0</v>
      </c>
    </row>
    <row r="134" spans="2:29" x14ac:dyDescent="0.25">
      <c r="B134" t="s">
        <v>17</v>
      </c>
      <c r="D134">
        <v>1.05</v>
      </c>
      <c r="E134">
        <v>1.1100000000000001</v>
      </c>
      <c r="F134">
        <v>1.04</v>
      </c>
      <c r="G134" s="2">
        <f>SUM(D134:F134)/3</f>
        <v>1.0666666666666667</v>
      </c>
      <c r="I134">
        <v>1.07</v>
      </c>
      <c r="J134">
        <v>1.08</v>
      </c>
      <c r="K134">
        <v>1.07</v>
      </c>
      <c r="L134" s="2">
        <f>SUM(I134:K134)/3</f>
        <v>1.0733333333333335</v>
      </c>
      <c r="O134" t="s">
        <v>17</v>
      </c>
      <c r="Q134">
        <v>1.1100000000000001</v>
      </c>
      <c r="R134">
        <v>1.1299999999999999</v>
      </c>
      <c r="S134">
        <v>1.1200000000000001</v>
      </c>
      <c r="T134" s="2">
        <f>SUM(Q134:S134)/3</f>
        <v>1.1200000000000001</v>
      </c>
      <c r="V134">
        <v>1.1200000000000001</v>
      </c>
      <c r="W134">
        <v>1.1399999999999999</v>
      </c>
      <c r="X134">
        <v>1.1399999999999999</v>
      </c>
      <c r="Y134" s="2">
        <f>SUM(V134:X134)/3</f>
        <v>1.1333333333333331</v>
      </c>
    </row>
    <row r="135" spans="2:29" x14ac:dyDescent="0.25">
      <c r="G135" s="2"/>
      <c r="L135" s="2"/>
      <c r="T135" s="2"/>
      <c r="Y135" s="2"/>
    </row>
    <row r="136" spans="2:29" x14ac:dyDescent="0.25">
      <c r="G136" s="2"/>
      <c r="L136" s="2"/>
      <c r="T136" s="2"/>
      <c r="Y136" s="2"/>
    </row>
    <row r="137" spans="2:29" x14ac:dyDescent="0.25">
      <c r="D137" t="s">
        <v>11</v>
      </c>
      <c r="I137" t="s">
        <v>13</v>
      </c>
      <c r="Q137" t="s">
        <v>11</v>
      </c>
      <c r="V137" t="s">
        <v>13</v>
      </c>
    </row>
    <row r="138" spans="2:29" x14ac:dyDescent="0.25">
      <c r="C138" t="s">
        <v>43</v>
      </c>
      <c r="D138">
        <v>1</v>
      </c>
      <c r="E138">
        <v>2</v>
      </c>
      <c r="F138">
        <v>3</v>
      </c>
      <c r="G138" t="s">
        <v>12</v>
      </c>
      <c r="I138">
        <v>1</v>
      </c>
      <c r="J138">
        <v>2</v>
      </c>
      <c r="K138">
        <v>3</v>
      </c>
      <c r="L138" t="s">
        <v>12</v>
      </c>
      <c r="P138" t="s">
        <v>43</v>
      </c>
      <c r="Q138">
        <v>1</v>
      </c>
      <c r="R138">
        <v>2</v>
      </c>
      <c r="S138">
        <v>3</v>
      </c>
      <c r="T138" t="s">
        <v>12</v>
      </c>
      <c r="V138">
        <v>1</v>
      </c>
      <c r="W138">
        <v>2</v>
      </c>
      <c r="X138">
        <v>3</v>
      </c>
      <c r="Y138" t="s">
        <v>12</v>
      </c>
    </row>
    <row r="139" spans="2:29" x14ac:dyDescent="0.25">
      <c r="B139" t="s">
        <v>15</v>
      </c>
      <c r="D139">
        <v>1.03</v>
      </c>
      <c r="E139">
        <v>1.04</v>
      </c>
      <c r="F139">
        <v>1.02</v>
      </c>
      <c r="G139" s="2">
        <f>SUM(D139:F139)/3</f>
        <v>1.03</v>
      </c>
      <c r="I139">
        <v>1.04</v>
      </c>
      <c r="J139">
        <v>1.06</v>
      </c>
      <c r="K139">
        <v>1.03</v>
      </c>
      <c r="L139" s="2">
        <f>SUM(I139:K139)/3</f>
        <v>1.0433333333333332</v>
      </c>
      <c r="O139" t="s">
        <v>15</v>
      </c>
      <c r="Q139">
        <v>1.1200000000000001</v>
      </c>
      <c r="R139">
        <v>1.0900000000000001</v>
      </c>
      <c r="S139">
        <v>1.1499999999999999</v>
      </c>
      <c r="T139" s="2">
        <f>SUM(Q139:S139)/3</f>
        <v>1.1199999999999999</v>
      </c>
      <c r="V139">
        <v>1.1200000000000001</v>
      </c>
      <c r="W139">
        <v>1.1200000000000001</v>
      </c>
      <c r="X139">
        <v>1.1299999999999999</v>
      </c>
      <c r="Y139" s="2">
        <f>SUM(V139:X139)/3</f>
        <v>1.1233333333333333</v>
      </c>
    </row>
    <row r="140" spans="2:29" x14ac:dyDescent="0.25">
      <c r="B140" t="s">
        <v>16</v>
      </c>
      <c r="D140">
        <v>0</v>
      </c>
      <c r="E140">
        <v>0</v>
      </c>
      <c r="F140">
        <v>0</v>
      </c>
      <c r="G140" s="2">
        <f>SUM(D140:F140)/3</f>
        <v>0</v>
      </c>
      <c r="I140">
        <v>0</v>
      </c>
      <c r="J140">
        <v>0</v>
      </c>
      <c r="K140">
        <v>0</v>
      </c>
      <c r="L140" s="2">
        <f>SUM(I140:K140)/3</f>
        <v>0</v>
      </c>
      <c r="O140" t="s">
        <v>16</v>
      </c>
      <c r="Q140">
        <v>0</v>
      </c>
      <c r="R140">
        <v>0</v>
      </c>
      <c r="S140">
        <v>0</v>
      </c>
      <c r="T140" s="2">
        <f>SUM(Q140:S140)/3</f>
        <v>0</v>
      </c>
      <c r="V140">
        <v>0</v>
      </c>
      <c r="W140">
        <v>0</v>
      </c>
      <c r="X140">
        <v>0</v>
      </c>
      <c r="Y140" s="2">
        <f>SUM(V140:X140)/3</f>
        <v>0</v>
      </c>
      <c r="AC140" t="s">
        <v>71</v>
      </c>
    </row>
    <row r="141" spans="2:29" x14ac:dyDescent="0.25">
      <c r="B141" t="s">
        <v>17</v>
      </c>
      <c r="D141">
        <v>1.03</v>
      </c>
      <c r="E141">
        <v>1.04</v>
      </c>
      <c r="F141">
        <v>1.02</v>
      </c>
      <c r="G141" s="2">
        <f>SUM(D141:F141)/3</f>
        <v>1.03</v>
      </c>
      <c r="I141">
        <v>1.04</v>
      </c>
      <c r="J141">
        <v>1.06</v>
      </c>
      <c r="K141">
        <v>1.03</v>
      </c>
      <c r="L141" s="2">
        <f>SUM(I141:K141)/3</f>
        <v>1.0433333333333332</v>
      </c>
      <c r="O141" t="s">
        <v>17</v>
      </c>
      <c r="Q141">
        <v>1.1200000000000001</v>
      </c>
      <c r="R141">
        <v>1.0900000000000001</v>
      </c>
      <c r="S141">
        <v>1.1499999999999999</v>
      </c>
      <c r="T141" s="2">
        <f>SUM(Q141:S141)/3</f>
        <v>1.1199999999999999</v>
      </c>
      <c r="V141">
        <v>1.1200000000000001</v>
      </c>
      <c r="W141">
        <v>1.1200000000000001</v>
      </c>
      <c r="X141">
        <v>1.1299999999999999</v>
      </c>
      <c r="Y141" s="2">
        <f>SUM(V141:X141)/3</f>
        <v>1.1233333333333333</v>
      </c>
    </row>
    <row r="144" spans="2:29" x14ac:dyDescent="0.25">
      <c r="P144" t="s">
        <v>70</v>
      </c>
      <c r="Y144" t="s">
        <v>13</v>
      </c>
    </row>
    <row r="145" spans="2:29" x14ac:dyDescent="0.25">
      <c r="P145" t="s">
        <v>31</v>
      </c>
      <c r="Q145" t="s">
        <v>69</v>
      </c>
      <c r="U145" t="s">
        <v>67</v>
      </c>
      <c r="AA145" t="s">
        <v>31</v>
      </c>
      <c r="AB145" t="s">
        <v>69</v>
      </c>
      <c r="AC145" t="s">
        <v>67</v>
      </c>
    </row>
    <row r="146" spans="2:29" x14ac:dyDescent="0.25">
      <c r="B146" t="s">
        <v>17</v>
      </c>
      <c r="P146" t="s">
        <v>18</v>
      </c>
      <c r="T146">
        <f>AVERAGEA(P146:R146)</f>
        <v>0</v>
      </c>
      <c r="U146">
        <v>20</v>
      </c>
      <c r="V146">
        <v>15</v>
      </c>
      <c r="W146">
        <v>14</v>
      </c>
      <c r="X146">
        <f>AVERAGEA(U146:W146)</f>
        <v>16.333333333333332</v>
      </c>
      <c r="AA146" t="s">
        <v>18</v>
      </c>
    </row>
    <row r="147" spans="2:29" x14ac:dyDescent="0.25">
      <c r="B147" t="s">
        <v>15</v>
      </c>
      <c r="P147" t="s">
        <v>16</v>
      </c>
      <c r="T147">
        <f>AVERAGEA(P147:R147)</f>
        <v>0</v>
      </c>
      <c r="U147">
        <v>0.5</v>
      </c>
      <c r="V147">
        <v>0.5</v>
      </c>
      <c r="W147">
        <v>0.5</v>
      </c>
      <c r="X147">
        <f>AVERAGEA(U147:W147)</f>
        <v>0.5</v>
      </c>
      <c r="AA147" t="s">
        <v>16</v>
      </c>
    </row>
    <row r="148" spans="2:29" x14ac:dyDescent="0.25">
      <c r="B148" t="s">
        <v>16</v>
      </c>
    </row>
    <row r="149" spans="2:29" x14ac:dyDescent="0.25">
      <c r="B149" t="s">
        <v>18</v>
      </c>
    </row>
    <row r="150" spans="2:29" x14ac:dyDescent="0.25">
      <c r="B150" t="s">
        <v>19</v>
      </c>
      <c r="P150" t="s">
        <v>68</v>
      </c>
      <c r="Q150" t="s">
        <v>69</v>
      </c>
      <c r="U150" t="s">
        <v>67</v>
      </c>
      <c r="AA150" t="s">
        <v>32</v>
      </c>
      <c r="AB150" t="s">
        <v>69</v>
      </c>
      <c r="AC150" t="s">
        <v>67</v>
      </c>
    </row>
    <row r="151" spans="2:29" x14ac:dyDescent="0.25">
      <c r="B151" t="s">
        <v>20</v>
      </c>
      <c r="P151" t="s">
        <v>18</v>
      </c>
      <c r="T151">
        <f>AVERAGEA(P151:R151)</f>
        <v>0</v>
      </c>
      <c r="U151">
        <v>41</v>
      </c>
      <c r="V151">
        <v>37</v>
      </c>
      <c r="W151">
        <v>40</v>
      </c>
      <c r="X151">
        <f>AVERAGEA(U151:W151)</f>
        <v>39.333333333333336</v>
      </c>
      <c r="AA151" t="s">
        <v>18</v>
      </c>
    </row>
    <row r="152" spans="2:29" x14ac:dyDescent="0.25">
      <c r="B152" t="s">
        <v>21</v>
      </c>
      <c r="P152" t="s">
        <v>16</v>
      </c>
      <c r="T152">
        <f>AVERAGEA(P152:R152)</f>
        <v>0</v>
      </c>
      <c r="U152">
        <v>0.04</v>
      </c>
      <c r="V152">
        <v>0.04</v>
      </c>
      <c r="W152">
        <v>0.04</v>
      </c>
      <c r="X152">
        <f>AVERAGEA(U152:W152)</f>
        <v>0.04</v>
      </c>
      <c r="AA152" t="s">
        <v>16</v>
      </c>
    </row>
    <row r="153" spans="2:29" x14ac:dyDescent="0.25">
      <c r="B153" t="s">
        <v>22</v>
      </c>
      <c r="C153" t="s">
        <v>27</v>
      </c>
    </row>
    <row r="154" spans="2:29" x14ac:dyDescent="0.25">
      <c r="B154" t="s">
        <v>23</v>
      </c>
    </row>
    <row r="155" spans="2:29" x14ac:dyDescent="0.25">
      <c r="B155" t="s">
        <v>24</v>
      </c>
      <c r="AA155" t="s">
        <v>68</v>
      </c>
      <c r="AB155" t="s">
        <v>69</v>
      </c>
      <c r="AC155" t="s">
        <v>67</v>
      </c>
    </row>
    <row r="156" spans="2:29" x14ac:dyDescent="0.25">
      <c r="AA156" t="s">
        <v>18</v>
      </c>
      <c r="AC156">
        <v>16</v>
      </c>
    </row>
    <row r="157" spans="2:29" x14ac:dyDescent="0.25">
      <c r="B157" t="s">
        <v>25</v>
      </c>
      <c r="AA157" t="s">
        <v>16</v>
      </c>
      <c r="AC157">
        <v>0.05</v>
      </c>
    </row>
    <row r="158" spans="2:29" x14ac:dyDescent="0.25">
      <c r="B158" t="s">
        <v>26</v>
      </c>
    </row>
    <row r="162" spans="2:10" x14ac:dyDescent="0.25">
      <c r="B162" s="1" t="s">
        <v>35</v>
      </c>
    </row>
    <row r="163" spans="2:10" x14ac:dyDescent="0.25">
      <c r="B163" s="1"/>
    </row>
    <row r="174" spans="2:10" x14ac:dyDescent="0.25">
      <c r="H174" t="s">
        <v>33</v>
      </c>
    </row>
    <row r="175" spans="2:10" x14ac:dyDescent="0.25">
      <c r="G175" t="s">
        <v>11</v>
      </c>
      <c r="H175" t="s">
        <v>45</v>
      </c>
    </row>
    <row r="176" spans="2:10" x14ac:dyDescent="0.25">
      <c r="F176" t="s">
        <v>10</v>
      </c>
      <c r="G176">
        <v>1</v>
      </c>
      <c r="H176">
        <v>2</v>
      </c>
      <c r="I176">
        <v>3</v>
      </c>
      <c r="J176" t="s">
        <v>12</v>
      </c>
    </row>
    <row r="177" spans="5:10" x14ac:dyDescent="0.25">
      <c r="E177" t="s">
        <v>15</v>
      </c>
      <c r="G177">
        <v>4.45</v>
      </c>
      <c r="H177">
        <v>4.46</v>
      </c>
      <c r="I177">
        <v>4.4800000000000004</v>
      </c>
      <c r="J177" s="2">
        <f>SUM(G177:I177)/3</f>
        <v>4.4633333333333338</v>
      </c>
    </row>
    <row r="178" spans="5:10" x14ac:dyDescent="0.25">
      <c r="E178" t="s">
        <v>16</v>
      </c>
      <c r="G178">
        <v>0.01</v>
      </c>
      <c r="H178">
        <v>0.01</v>
      </c>
      <c r="I178">
        <v>0.01</v>
      </c>
      <c r="J178" s="2">
        <f>SUM(G178:I178)/3</f>
        <v>0.01</v>
      </c>
    </row>
    <row r="179" spans="5:10" x14ac:dyDescent="0.25">
      <c r="E179" t="s">
        <v>17</v>
      </c>
      <c r="G179">
        <v>2.57</v>
      </c>
      <c r="H179">
        <v>2.54</v>
      </c>
      <c r="I179">
        <v>2.5</v>
      </c>
      <c r="J179" s="2">
        <f>SUM(G179:I179)/3</f>
        <v>2.5366666666666666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8532-2D4C-43D6-A99E-A3802431EB8D}">
  <dimension ref="B3:AC171"/>
  <sheetViews>
    <sheetView tabSelected="1" topLeftCell="A139" workbookViewId="0">
      <selection activeCell="I165" sqref="I165"/>
    </sheetView>
  </sheetViews>
  <sheetFormatPr defaultRowHeight="15" x14ac:dyDescent="0.25"/>
  <cols>
    <col min="2" max="2" width="26.5703125" bestFit="1" customWidth="1"/>
    <col min="3" max="3" width="16.42578125" bestFit="1" customWidth="1"/>
    <col min="12" max="12" width="9.85546875" bestFit="1" customWidth="1"/>
  </cols>
  <sheetData>
    <row r="3" spans="2:29" x14ac:dyDescent="0.25">
      <c r="M3">
        <v>0.9</v>
      </c>
      <c r="N3">
        <v>2</v>
      </c>
      <c r="O3">
        <v>0.9</v>
      </c>
      <c r="P3">
        <v>2.2999999999999998</v>
      </c>
    </row>
    <row r="4" spans="2:29" x14ac:dyDescent="0.25">
      <c r="B4" t="s">
        <v>2</v>
      </c>
      <c r="C4" t="s">
        <v>14</v>
      </c>
      <c r="M4">
        <v>1</v>
      </c>
      <c r="N4">
        <v>2.6</v>
      </c>
      <c r="O4">
        <v>1</v>
      </c>
      <c r="P4">
        <v>2.9</v>
      </c>
    </row>
    <row r="5" spans="2:29" x14ac:dyDescent="0.25">
      <c r="M5">
        <v>0</v>
      </c>
      <c r="N5">
        <v>50</v>
      </c>
      <c r="O5">
        <v>0</v>
      </c>
      <c r="P5">
        <v>60</v>
      </c>
    </row>
    <row r="6" spans="2:29" x14ac:dyDescent="0.25">
      <c r="B6" t="s">
        <v>3</v>
      </c>
      <c r="M6">
        <v>4.0000000000000001E-3</v>
      </c>
      <c r="N6">
        <v>1.6000000000000001E-3</v>
      </c>
      <c r="O6">
        <v>1E-3</v>
      </c>
      <c r="P6">
        <v>4.0000000000000002E-4</v>
      </c>
    </row>
    <row r="7" spans="2:29" x14ac:dyDescent="0.25">
      <c r="M7">
        <v>0.9</v>
      </c>
      <c r="N7">
        <v>2</v>
      </c>
      <c r="O7">
        <v>0.9</v>
      </c>
      <c r="P7">
        <v>2.2999999999999998</v>
      </c>
    </row>
    <row r="8" spans="2:29" x14ac:dyDescent="0.25">
      <c r="M8">
        <v>98</v>
      </c>
      <c r="N8">
        <v>95</v>
      </c>
      <c r="O8">
        <v>98</v>
      </c>
      <c r="P8">
        <v>93</v>
      </c>
    </row>
    <row r="9" spans="2:29" x14ac:dyDescent="0.25">
      <c r="B9" t="s">
        <v>8</v>
      </c>
      <c r="C9" t="s">
        <v>9</v>
      </c>
      <c r="E9" t="s">
        <v>33</v>
      </c>
      <c r="I9" t="s">
        <v>34</v>
      </c>
      <c r="M9" t="s">
        <v>37</v>
      </c>
      <c r="N9" t="s">
        <v>48</v>
      </c>
      <c r="O9" t="s">
        <v>48</v>
      </c>
      <c r="P9" t="s">
        <v>64</v>
      </c>
      <c r="S9" t="s">
        <v>8</v>
      </c>
      <c r="T9" t="s">
        <v>9</v>
      </c>
      <c r="V9" t="s">
        <v>33</v>
      </c>
      <c r="Z9" t="s">
        <v>34</v>
      </c>
    </row>
    <row r="10" spans="2:29" x14ac:dyDescent="0.25">
      <c r="D10" t="s">
        <v>11</v>
      </c>
      <c r="E10" t="s">
        <v>45</v>
      </c>
      <c r="H10" t="s">
        <v>13</v>
      </c>
      <c r="I10" t="s">
        <v>44</v>
      </c>
      <c r="M10">
        <v>90</v>
      </c>
      <c r="N10">
        <v>85</v>
      </c>
      <c r="O10">
        <v>88</v>
      </c>
      <c r="P10">
        <v>88</v>
      </c>
      <c r="U10" t="s">
        <v>11</v>
      </c>
      <c r="V10" t="s">
        <v>45</v>
      </c>
      <c r="Y10" t="s">
        <v>13</v>
      </c>
      <c r="Z10" t="s">
        <v>44</v>
      </c>
    </row>
    <row r="11" spans="2:29" x14ac:dyDescent="0.25">
      <c r="C11" t="s">
        <v>10</v>
      </c>
      <c r="D11">
        <v>1</v>
      </c>
      <c r="E11">
        <v>2</v>
      </c>
      <c r="F11" t="s">
        <v>12</v>
      </c>
      <c r="H11">
        <v>1</v>
      </c>
      <c r="I11">
        <v>2</v>
      </c>
      <c r="J11" t="s">
        <v>12</v>
      </c>
      <c r="M11" t="s">
        <v>36</v>
      </c>
      <c r="N11" t="s">
        <v>49</v>
      </c>
      <c r="O11" t="s">
        <v>49</v>
      </c>
      <c r="P11" t="s">
        <v>49</v>
      </c>
      <c r="T11" t="s">
        <v>10</v>
      </c>
      <c r="U11">
        <v>1</v>
      </c>
      <c r="V11">
        <v>2</v>
      </c>
      <c r="W11" t="s">
        <v>12</v>
      </c>
      <c r="Y11">
        <v>1</v>
      </c>
      <c r="Z11">
        <v>2</v>
      </c>
      <c r="AA11" t="s">
        <v>12</v>
      </c>
    </row>
    <row r="12" spans="2:29" x14ac:dyDescent="0.25">
      <c r="B12" t="s">
        <v>17</v>
      </c>
      <c r="D12">
        <v>0.9</v>
      </c>
      <c r="F12">
        <f t="shared" ref="F12:F17" si="0">SUM(D12:E12)/2</f>
        <v>0.45</v>
      </c>
      <c r="H12">
        <v>2</v>
      </c>
      <c r="I12">
        <v>2</v>
      </c>
      <c r="J12">
        <f>SUM(H12:I12)/2</f>
        <v>2</v>
      </c>
      <c r="L12" t="s">
        <v>47</v>
      </c>
      <c r="M12">
        <v>100</v>
      </c>
      <c r="N12">
        <v>100</v>
      </c>
      <c r="O12">
        <v>100</v>
      </c>
      <c r="P12">
        <v>100</v>
      </c>
      <c r="S12" t="s">
        <v>17</v>
      </c>
      <c r="U12">
        <v>0.9</v>
      </c>
      <c r="W12">
        <f t="shared" ref="W12:W17" si="1">SUM(U12:V12)/2</f>
        <v>0.45</v>
      </c>
      <c r="Y12">
        <v>2.2999999999999998</v>
      </c>
      <c r="AA12">
        <f t="shared" ref="AA12:AA17" si="2">SUM(Y12:Z12)/2</f>
        <v>1.1499999999999999</v>
      </c>
      <c r="AC12" t="s">
        <v>47</v>
      </c>
    </row>
    <row r="13" spans="2:29" x14ac:dyDescent="0.25">
      <c r="B13" t="s">
        <v>15</v>
      </c>
      <c r="D13">
        <v>1</v>
      </c>
      <c r="F13">
        <f t="shared" si="0"/>
        <v>0.5</v>
      </c>
      <c r="H13">
        <v>2.6</v>
      </c>
      <c r="I13">
        <v>2.6</v>
      </c>
      <c r="J13">
        <f>SUM(H13:I13)/2</f>
        <v>2.6</v>
      </c>
      <c r="L13" t="s">
        <v>47</v>
      </c>
      <c r="S13" t="s">
        <v>15</v>
      </c>
      <c r="U13">
        <v>1</v>
      </c>
      <c r="W13">
        <f t="shared" si="1"/>
        <v>0.5</v>
      </c>
      <c r="Y13">
        <v>2.9</v>
      </c>
      <c r="AA13">
        <f t="shared" si="2"/>
        <v>1.45</v>
      </c>
      <c r="AC13" t="s">
        <v>47</v>
      </c>
    </row>
    <row r="14" spans="2:29" x14ac:dyDescent="0.25">
      <c r="B14" t="s">
        <v>25</v>
      </c>
      <c r="D14">
        <v>0</v>
      </c>
      <c r="F14">
        <f t="shared" si="0"/>
        <v>0</v>
      </c>
      <c r="H14">
        <v>50</v>
      </c>
      <c r="I14">
        <v>50</v>
      </c>
      <c r="J14">
        <f>SUM(H14:I14)/2</f>
        <v>50</v>
      </c>
      <c r="L14" t="s">
        <v>46</v>
      </c>
      <c r="M14">
        <v>83</v>
      </c>
      <c r="N14">
        <v>83</v>
      </c>
      <c r="O14">
        <v>83</v>
      </c>
      <c r="P14">
        <v>83</v>
      </c>
      <c r="S14" t="s">
        <v>25</v>
      </c>
      <c r="U14">
        <v>0</v>
      </c>
      <c r="W14">
        <f t="shared" si="1"/>
        <v>0</v>
      </c>
      <c r="Y14">
        <v>60</v>
      </c>
      <c r="AA14">
        <f t="shared" si="2"/>
        <v>30</v>
      </c>
      <c r="AC14" t="s">
        <v>46</v>
      </c>
    </row>
    <row r="15" spans="2:29" x14ac:dyDescent="0.25">
      <c r="B15" t="s">
        <v>16</v>
      </c>
      <c r="D15">
        <v>4.0000000000000001E-3</v>
      </c>
      <c r="F15">
        <f t="shared" si="0"/>
        <v>2E-3</v>
      </c>
      <c r="H15">
        <v>1.6000000000000001E-3</v>
      </c>
      <c r="I15">
        <v>1.6000000000000001E-3</v>
      </c>
      <c r="J15">
        <f>SUM(H15:I15)/2</f>
        <v>1.6000000000000001E-3</v>
      </c>
      <c r="M15" t="s">
        <v>36</v>
      </c>
      <c r="N15" t="s">
        <v>36</v>
      </c>
      <c r="O15" t="s">
        <v>36</v>
      </c>
      <c r="P15" t="s">
        <v>36</v>
      </c>
      <c r="S15" t="s">
        <v>16</v>
      </c>
      <c r="U15">
        <v>1E-3</v>
      </c>
      <c r="W15">
        <f t="shared" si="1"/>
        <v>5.0000000000000001E-4</v>
      </c>
      <c r="Y15">
        <v>4.0000000000000002E-4</v>
      </c>
      <c r="AA15">
        <f t="shared" si="2"/>
        <v>2.0000000000000001E-4</v>
      </c>
    </row>
    <row r="16" spans="2:29" x14ac:dyDescent="0.25">
      <c r="B16" t="s">
        <v>38</v>
      </c>
      <c r="D16">
        <v>0.9</v>
      </c>
      <c r="F16">
        <f t="shared" si="0"/>
        <v>0.45</v>
      </c>
      <c r="H16">
        <v>2</v>
      </c>
      <c r="I16">
        <v>2</v>
      </c>
      <c r="L16" t="s">
        <v>47</v>
      </c>
      <c r="S16" t="s">
        <v>38</v>
      </c>
      <c r="U16">
        <v>0.9</v>
      </c>
      <c r="W16">
        <f t="shared" si="1"/>
        <v>0.45</v>
      </c>
      <c r="Y16">
        <v>2.2999999999999998</v>
      </c>
      <c r="AA16">
        <f t="shared" si="2"/>
        <v>1.1499999999999999</v>
      </c>
      <c r="AC16" t="s">
        <v>47</v>
      </c>
    </row>
    <row r="17" spans="2:29" x14ac:dyDescent="0.25">
      <c r="B17" t="s">
        <v>21</v>
      </c>
      <c r="D17">
        <v>98</v>
      </c>
      <c r="F17">
        <f t="shared" si="0"/>
        <v>49</v>
      </c>
      <c r="H17">
        <v>95</v>
      </c>
      <c r="I17">
        <v>95</v>
      </c>
      <c r="J17">
        <f>SUM(H17:I17)/2</f>
        <v>95</v>
      </c>
      <c r="S17" t="s">
        <v>21</v>
      </c>
      <c r="U17">
        <v>98</v>
      </c>
      <c r="W17">
        <f t="shared" si="1"/>
        <v>49</v>
      </c>
      <c r="Y17">
        <v>93</v>
      </c>
      <c r="AA17">
        <f t="shared" si="2"/>
        <v>46.5</v>
      </c>
    </row>
    <row r="18" spans="2:29" x14ac:dyDescent="0.25">
      <c r="D18" t="s">
        <v>37</v>
      </c>
      <c r="H18" t="s">
        <v>48</v>
      </c>
      <c r="I18" t="s">
        <v>48</v>
      </c>
      <c r="L18" s="1" t="s">
        <v>53</v>
      </c>
      <c r="U18" t="s">
        <v>48</v>
      </c>
      <c r="Y18" t="s">
        <v>64</v>
      </c>
      <c r="Z18" t="s">
        <v>65</v>
      </c>
      <c r="AC18" s="1" t="s">
        <v>53</v>
      </c>
    </row>
    <row r="19" spans="2:29" x14ac:dyDescent="0.25">
      <c r="B19" t="s">
        <v>22</v>
      </c>
      <c r="D19">
        <v>90</v>
      </c>
      <c r="F19">
        <f>SUM(D19:E19)/2</f>
        <v>45</v>
      </c>
      <c r="H19">
        <v>85</v>
      </c>
      <c r="I19">
        <v>85</v>
      </c>
      <c r="J19">
        <f>SUM(H19:I19)/2</f>
        <v>85</v>
      </c>
      <c r="S19" t="s">
        <v>22</v>
      </c>
      <c r="U19">
        <v>88</v>
      </c>
      <c r="W19">
        <f>SUM(U19:V19)/2</f>
        <v>44</v>
      </c>
      <c r="Y19">
        <v>88</v>
      </c>
      <c r="AA19">
        <f>SUM(Y19:Z19)/2</f>
        <v>44</v>
      </c>
    </row>
    <row r="20" spans="2:29" x14ac:dyDescent="0.25">
      <c r="D20" t="s">
        <v>36</v>
      </c>
      <c r="H20" t="s">
        <v>49</v>
      </c>
      <c r="I20" t="s">
        <v>49</v>
      </c>
      <c r="M20">
        <v>0.9</v>
      </c>
      <c r="N20">
        <v>0.9</v>
      </c>
      <c r="O20">
        <v>2</v>
      </c>
      <c r="P20">
        <v>2.2999999999999998</v>
      </c>
      <c r="U20" t="s">
        <v>49</v>
      </c>
      <c r="Y20" t="s">
        <v>49</v>
      </c>
    </row>
    <row r="21" spans="2:29" x14ac:dyDescent="0.25">
      <c r="B21" t="s">
        <v>23</v>
      </c>
      <c r="D21">
        <v>100</v>
      </c>
      <c r="F21">
        <f>SUM(D21:E21)/2</f>
        <v>50</v>
      </c>
      <c r="H21">
        <v>100</v>
      </c>
      <c r="I21">
        <v>100</v>
      </c>
      <c r="J21">
        <f>SUM(H21:I21)/2</f>
        <v>100</v>
      </c>
      <c r="M21">
        <v>1</v>
      </c>
      <c r="N21">
        <v>1</v>
      </c>
      <c r="O21">
        <v>2.6</v>
      </c>
      <c r="P21">
        <v>2.9</v>
      </c>
      <c r="S21" t="s">
        <v>23</v>
      </c>
      <c r="U21">
        <v>100</v>
      </c>
      <c r="W21">
        <f>SUM(U21:V21)/2</f>
        <v>50</v>
      </c>
      <c r="Y21">
        <v>100</v>
      </c>
      <c r="AA21">
        <f>SUM(Y21:Z21)/2</f>
        <v>50</v>
      </c>
    </row>
    <row r="22" spans="2:29" x14ac:dyDescent="0.25">
      <c r="M22">
        <v>0</v>
      </c>
      <c r="N22">
        <v>0</v>
      </c>
      <c r="O22">
        <v>50</v>
      </c>
      <c r="P22">
        <v>60</v>
      </c>
    </row>
    <row r="23" spans="2:29" x14ac:dyDescent="0.25">
      <c r="B23" t="s">
        <v>24</v>
      </c>
      <c r="D23">
        <v>83</v>
      </c>
      <c r="F23">
        <f>SUM(D23:E23)/2</f>
        <v>41.5</v>
      </c>
      <c r="H23">
        <v>83</v>
      </c>
      <c r="I23">
        <v>83</v>
      </c>
      <c r="J23">
        <f>SUM(H23:I23)/2</f>
        <v>83</v>
      </c>
      <c r="M23">
        <v>4.0000000000000001E-3</v>
      </c>
      <c r="N23">
        <v>1E-3</v>
      </c>
      <c r="O23">
        <v>1.6000000000000001E-3</v>
      </c>
      <c r="P23">
        <v>4.0000000000000002E-4</v>
      </c>
      <c r="S23" t="s">
        <v>24</v>
      </c>
      <c r="U23">
        <v>83</v>
      </c>
      <c r="W23">
        <f>SUM(U23:V23)/2</f>
        <v>41.5</v>
      </c>
      <c r="Y23">
        <v>83</v>
      </c>
      <c r="AA23">
        <f>SUM(Y23:Z23)/2</f>
        <v>41.5</v>
      </c>
    </row>
    <row r="24" spans="2:29" x14ac:dyDescent="0.25">
      <c r="D24" t="s">
        <v>36</v>
      </c>
      <c r="H24" t="s">
        <v>36</v>
      </c>
      <c r="I24" t="s">
        <v>36</v>
      </c>
      <c r="M24">
        <v>0.9</v>
      </c>
      <c r="N24">
        <v>0.9</v>
      </c>
      <c r="O24">
        <v>2</v>
      </c>
      <c r="P24">
        <v>2.2999999999999998</v>
      </c>
      <c r="U24" t="s">
        <v>36</v>
      </c>
      <c r="Y24" t="s">
        <v>36</v>
      </c>
    </row>
    <row r="25" spans="2:29" x14ac:dyDescent="0.25">
      <c r="M25">
        <v>98</v>
      </c>
      <c r="N25">
        <v>98</v>
      </c>
      <c r="O25">
        <v>95</v>
      </c>
      <c r="P25">
        <v>93</v>
      </c>
    </row>
    <row r="26" spans="2:29" x14ac:dyDescent="0.25">
      <c r="D26" t="s">
        <v>11</v>
      </c>
      <c r="H26" t="s">
        <v>13</v>
      </c>
      <c r="M26" t="s">
        <v>37</v>
      </c>
      <c r="N26" t="s">
        <v>48</v>
      </c>
      <c r="O26" t="s">
        <v>48</v>
      </c>
      <c r="P26" t="s">
        <v>64</v>
      </c>
      <c r="U26" t="s">
        <v>11</v>
      </c>
      <c r="Y26" t="s">
        <v>13</v>
      </c>
    </row>
    <row r="27" spans="2:29" x14ac:dyDescent="0.25">
      <c r="C27" t="s">
        <v>28</v>
      </c>
      <c r="D27">
        <v>1</v>
      </c>
      <c r="E27">
        <v>2</v>
      </c>
      <c r="F27" t="s">
        <v>12</v>
      </c>
      <c r="H27">
        <v>1</v>
      </c>
      <c r="I27">
        <v>2</v>
      </c>
      <c r="J27" t="s">
        <v>12</v>
      </c>
      <c r="M27">
        <v>90</v>
      </c>
      <c r="N27">
        <v>88</v>
      </c>
      <c r="O27">
        <v>85</v>
      </c>
      <c r="P27">
        <v>88</v>
      </c>
      <c r="T27" t="s">
        <v>28</v>
      </c>
      <c r="U27">
        <v>1</v>
      </c>
      <c r="V27">
        <v>2</v>
      </c>
      <c r="W27" t="s">
        <v>12</v>
      </c>
      <c r="Y27">
        <v>1</v>
      </c>
      <c r="Z27">
        <v>2</v>
      </c>
      <c r="AA27" t="s">
        <v>12</v>
      </c>
    </row>
    <row r="28" spans="2:29" x14ac:dyDescent="0.25">
      <c r="B28" t="s">
        <v>17</v>
      </c>
      <c r="D28">
        <v>0.8</v>
      </c>
      <c r="F28">
        <f t="shared" ref="F28:F33" si="3">SUM(D28:E28)/2</f>
        <v>0.4</v>
      </c>
      <c r="H28">
        <v>3.2</v>
      </c>
      <c r="J28">
        <f t="shared" ref="J28:J33" si="4">SUM(H28:I28)/2</f>
        <v>1.6</v>
      </c>
      <c r="M28" t="s">
        <v>36</v>
      </c>
      <c r="N28" t="s">
        <v>49</v>
      </c>
      <c r="O28" t="s">
        <v>49</v>
      </c>
      <c r="P28" t="s">
        <v>49</v>
      </c>
      <c r="S28" t="s">
        <v>17</v>
      </c>
      <c r="U28">
        <v>0.9</v>
      </c>
      <c r="W28">
        <f t="shared" ref="W28:W33" si="5">SUM(U28:V28)/2</f>
        <v>0.45</v>
      </c>
      <c r="Y28">
        <v>2.7</v>
      </c>
      <c r="AA28">
        <f t="shared" ref="AA28:AA33" si="6">SUM(Y28:Z28)/2</f>
        <v>1.35</v>
      </c>
    </row>
    <row r="29" spans="2:29" x14ac:dyDescent="0.25">
      <c r="B29" t="s">
        <v>15</v>
      </c>
      <c r="D29">
        <v>0.9</v>
      </c>
      <c r="F29">
        <f t="shared" si="3"/>
        <v>0.45</v>
      </c>
      <c r="H29">
        <v>4.0999999999999996</v>
      </c>
      <c r="J29">
        <f t="shared" si="4"/>
        <v>2.0499999999999998</v>
      </c>
      <c r="M29">
        <v>100</v>
      </c>
      <c r="N29">
        <v>100</v>
      </c>
      <c r="O29">
        <v>100</v>
      </c>
      <c r="P29">
        <v>100</v>
      </c>
      <c r="S29" t="s">
        <v>15</v>
      </c>
      <c r="U29">
        <v>1</v>
      </c>
      <c r="W29">
        <f t="shared" si="5"/>
        <v>0.5</v>
      </c>
      <c r="Y29">
        <v>3.8</v>
      </c>
      <c r="AA29">
        <f t="shared" si="6"/>
        <v>1.9</v>
      </c>
    </row>
    <row r="30" spans="2:29" x14ac:dyDescent="0.25">
      <c r="B30" t="s">
        <v>25</v>
      </c>
      <c r="D30">
        <v>0</v>
      </c>
      <c r="F30">
        <f t="shared" si="3"/>
        <v>0</v>
      </c>
      <c r="H30">
        <v>10</v>
      </c>
      <c r="J30">
        <f t="shared" si="4"/>
        <v>5</v>
      </c>
      <c r="S30" t="s">
        <v>25</v>
      </c>
      <c r="U30">
        <v>0</v>
      </c>
      <c r="W30">
        <f t="shared" si="5"/>
        <v>0</v>
      </c>
      <c r="Y30">
        <v>30</v>
      </c>
      <c r="AA30">
        <f t="shared" si="6"/>
        <v>15</v>
      </c>
    </row>
    <row r="31" spans="2:29" x14ac:dyDescent="0.25">
      <c r="B31" t="s">
        <v>16</v>
      </c>
      <c r="D31">
        <v>4.0000000000000001E-3</v>
      </c>
      <c r="F31">
        <f t="shared" si="3"/>
        <v>2E-3</v>
      </c>
      <c r="H31">
        <v>1.0999999999999999E-2</v>
      </c>
      <c r="J31">
        <f t="shared" si="4"/>
        <v>5.4999999999999997E-3</v>
      </c>
      <c r="M31">
        <v>83</v>
      </c>
      <c r="N31">
        <v>83</v>
      </c>
      <c r="O31">
        <v>83</v>
      </c>
      <c r="P31">
        <v>83</v>
      </c>
      <c r="S31" t="s">
        <v>16</v>
      </c>
      <c r="U31">
        <v>2E-3</v>
      </c>
      <c r="W31">
        <f t="shared" si="5"/>
        <v>1E-3</v>
      </c>
      <c r="Y31">
        <v>0.39200000000000002</v>
      </c>
      <c r="AA31">
        <f t="shared" si="6"/>
        <v>0.19600000000000001</v>
      </c>
    </row>
    <row r="32" spans="2:29" x14ac:dyDescent="0.25">
      <c r="B32" t="s">
        <v>38</v>
      </c>
      <c r="D32">
        <v>0.8</v>
      </c>
      <c r="F32">
        <f t="shared" si="3"/>
        <v>0.4</v>
      </c>
      <c r="H32">
        <v>3.2</v>
      </c>
      <c r="J32">
        <f t="shared" si="4"/>
        <v>1.6</v>
      </c>
      <c r="M32" t="s">
        <v>36</v>
      </c>
      <c r="N32" t="s">
        <v>36</v>
      </c>
      <c r="O32" t="s">
        <v>36</v>
      </c>
      <c r="P32" t="s">
        <v>36</v>
      </c>
      <c r="S32" t="s">
        <v>38</v>
      </c>
      <c r="U32">
        <v>0.9</v>
      </c>
      <c r="W32">
        <f t="shared" si="5"/>
        <v>0.45</v>
      </c>
      <c r="Y32">
        <v>2.4</v>
      </c>
      <c r="AA32">
        <f t="shared" si="6"/>
        <v>1.2</v>
      </c>
    </row>
    <row r="33" spans="2:29" x14ac:dyDescent="0.25">
      <c r="B33" t="s">
        <v>21</v>
      </c>
      <c r="D33">
        <v>99</v>
      </c>
      <c r="F33">
        <f t="shared" si="3"/>
        <v>49.5</v>
      </c>
      <c r="H33">
        <v>80</v>
      </c>
      <c r="J33">
        <f t="shared" si="4"/>
        <v>40</v>
      </c>
      <c r="S33" t="s">
        <v>21</v>
      </c>
      <c r="U33">
        <v>98</v>
      </c>
      <c r="W33">
        <f t="shared" si="5"/>
        <v>49</v>
      </c>
      <c r="Y33">
        <v>67</v>
      </c>
      <c r="AA33">
        <f t="shared" si="6"/>
        <v>33.5</v>
      </c>
    </row>
    <row r="34" spans="2:29" x14ac:dyDescent="0.25">
      <c r="D34" t="s">
        <v>58</v>
      </c>
      <c r="H34" t="s">
        <v>50</v>
      </c>
      <c r="L34" s="1" t="s">
        <v>53</v>
      </c>
      <c r="Y34" t="s">
        <v>64</v>
      </c>
      <c r="AC34" s="1" t="s">
        <v>53</v>
      </c>
    </row>
    <row r="35" spans="2:29" x14ac:dyDescent="0.25">
      <c r="B35" t="s">
        <v>22</v>
      </c>
      <c r="D35">
        <v>81</v>
      </c>
      <c r="F35">
        <f>SUM(D35:E35)/2</f>
        <v>40.5</v>
      </c>
      <c r="H35">
        <v>75</v>
      </c>
      <c r="J35">
        <f>SUM(H35:I35)/2</f>
        <v>37.5</v>
      </c>
      <c r="S35" t="s">
        <v>22</v>
      </c>
      <c r="U35">
        <v>88</v>
      </c>
      <c r="W35">
        <f>SUM(U35:V35)/2</f>
        <v>44</v>
      </c>
      <c r="Y35">
        <v>86</v>
      </c>
      <c r="AA35">
        <f>SUM(Y35:Z35)/2</f>
        <v>43</v>
      </c>
    </row>
    <row r="36" spans="2:29" x14ac:dyDescent="0.25">
      <c r="D36" t="s">
        <v>49</v>
      </c>
      <c r="H36" t="s">
        <v>51</v>
      </c>
      <c r="Y36" t="s">
        <v>36</v>
      </c>
    </row>
    <row r="37" spans="2:29" x14ac:dyDescent="0.25">
      <c r="B37" t="s">
        <v>23</v>
      </c>
      <c r="D37">
        <v>100</v>
      </c>
      <c r="F37">
        <f>SUM(D37:E37)/2</f>
        <v>50</v>
      </c>
      <c r="H37">
        <v>10</v>
      </c>
      <c r="J37">
        <f>SUM(H37:I37)/2</f>
        <v>5</v>
      </c>
      <c r="S37" t="s">
        <v>23</v>
      </c>
      <c r="U37">
        <v>100</v>
      </c>
      <c r="W37">
        <f>SUM(U37:V37)/2</f>
        <v>50</v>
      </c>
      <c r="Y37">
        <v>100</v>
      </c>
      <c r="AA37">
        <f>SUM(Y37:Z37)/2</f>
        <v>50</v>
      </c>
    </row>
    <row r="39" spans="2:29" x14ac:dyDescent="0.25">
      <c r="B39" t="s">
        <v>24</v>
      </c>
      <c r="D39">
        <v>75</v>
      </c>
      <c r="F39">
        <f>SUM(D39:E39)/2</f>
        <v>37.5</v>
      </c>
      <c r="H39">
        <v>75</v>
      </c>
      <c r="J39">
        <f>SUM(H39:I39)/2</f>
        <v>37.5</v>
      </c>
      <c r="S39" t="s">
        <v>24</v>
      </c>
      <c r="U39">
        <v>83</v>
      </c>
      <c r="W39">
        <f>SUM(U39:V39)/2</f>
        <v>41.5</v>
      </c>
      <c r="Y39">
        <v>83</v>
      </c>
      <c r="AA39">
        <f>SUM(Y39:Z39)/2</f>
        <v>41.5</v>
      </c>
    </row>
    <row r="40" spans="2:29" x14ac:dyDescent="0.25">
      <c r="D40" t="s">
        <v>49</v>
      </c>
      <c r="H40" t="s">
        <v>49</v>
      </c>
      <c r="Y40" t="s">
        <v>36</v>
      </c>
    </row>
    <row r="42" spans="2:29" x14ac:dyDescent="0.25">
      <c r="D42" t="s">
        <v>11</v>
      </c>
      <c r="H42" t="s">
        <v>13</v>
      </c>
      <c r="U42" t="s">
        <v>11</v>
      </c>
      <c r="Y42" t="s">
        <v>13</v>
      </c>
    </row>
    <row r="43" spans="2:29" x14ac:dyDescent="0.25">
      <c r="C43" t="s">
        <v>29</v>
      </c>
      <c r="D43">
        <v>1</v>
      </c>
      <c r="E43">
        <v>2</v>
      </c>
      <c r="F43" t="s">
        <v>12</v>
      </c>
      <c r="H43">
        <v>1</v>
      </c>
      <c r="I43">
        <v>2</v>
      </c>
      <c r="J43" t="s">
        <v>12</v>
      </c>
      <c r="T43" t="s">
        <v>29</v>
      </c>
      <c r="U43">
        <v>1</v>
      </c>
      <c r="V43">
        <v>2</v>
      </c>
      <c r="W43" t="s">
        <v>12</v>
      </c>
      <c r="Y43">
        <v>1</v>
      </c>
      <c r="Z43">
        <v>2</v>
      </c>
      <c r="AA43" t="s">
        <v>12</v>
      </c>
    </row>
    <row r="44" spans="2:29" x14ac:dyDescent="0.25">
      <c r="B44" t="s">
        <v>17</v>
      </c>
      <c r="D44">
        <v>0.8</v>
      </c>
      <c r="F44">
        <f t="shared" ref="F44:F49" si="7">SUM(D44:E44)/2</f>
        <v>0.4</v>
      </c>
      <c r="H44">
        <v>2.2999999999999998</v>
      </c>
      <c r="J44">
        <f t="shared" ref="J44:J49" si="8">SUM(H44:I44)/2</f>
        <v>1.1499999999999999</v>
      </c>
      <c r="S44" t="s">
        <v>17</v>
      </c>
      <c r="U44">
        <v>0.8</v>
      </c>
      <c r="W44">
        <f t="shared" ref="W44:W49" si="9">SUM(U44:V44)/2</f>
        <v>0.4</v>
      </c>
      <c r="Y44">
        <v>2.5</v>
      </c>
      <c r="AA44">
        <f t="shared" ref="AA44:AA49" si="10">SUM(Y44:Z44)/2</f>
        <v>1.25</v>
      </c>
    </row>
    <row r="45" spans="2:29" x14ac:dyDescent="0.25">
      <c r="B45" t="s">
        <v>15</v>
      </c>
      <c r="D45">
        <v>0.8</v>
      </c>
      <c r="F45">
        <f t="shared" si="7"/>
        <v>0.4</v>
      </c>
      <c r="H45">
        <v>3.1</v>
      </c>
      <c r="J45">
        <f t="shared" si="8"/>
        <v>1.55</v>
      </c>
      <c r="S45" t="s">
        <v>15</v>
      </c>
      <c r="U45">
        <v>0.9</v>
      </c>
      <c r="W45">
        <f t="shared" si="9"/>
        <v>0.45</v>
      </c>
      <c r="Y45">
        <v>3.2</v>
      </c>
      <c r="AA45">
        <f t="shared" si="10"/>
        <v>1.6</v>
      </c>
    </row>
    <row r="46" spans="2:29" x14ac:dyDescent="0.25">
      <c r="B46" t="s">
        <v>25</v>
      </c>
      <c r="D46">
        <v>0</v>
      </c>
      <c r="F46">
        <f t="shared" si="7"/>
        <v>0</v>
      </c>
      <c r="H46">
        <v>30</v>
      </c>
      <c r="J46">
        <f t="shared" si="8"/>
        <v>15</v>
      </c>
      <c r="S46" t="s">
        <v>25</v>
      </c>
      <c r="U46">
        <v>0</v>
      </c>
      <c r="W46">
        <f t="shared" si="9"/>
        <v>0</v>
      </c>
      <c r="Y46">
        <v>30</v>
      </c>
      <c r="AA46">
        <f t="shared" si="10"/>
        <v>15</v>
      </c>
    </row>
    <row r="47" spans="2:29" x14ac:dyDescent="0.25">
      <c r="B47" t="s">
        <v>16</v>
      </c>
      <c r="D47">
        <v>0</v>
      </c>
      <c r="F47">
        <f t="shared" si="7"/>
        <v>0</v>
      </c>
      <c r="H47">
        <v>2E-3</v>
      </c>
      <c r="J47">
        <f t="shared" si="8"/>
        <v>1E-3</v>
      </c>
      <c r="S47" t="s">
        <v>16</v>
      </c>
      <c r="U47">
        <v>0</v>
      </c>
      <c r="W47">
        <f t="shared" si="9"/>
        <v>0</v>
      </c>
      <c r="Y47">
        <v>4.0000000000000001E-3</v>
      </c>
      <c r="AA47">
        <f t="shared" si="10"/>
        <v>2E-3</v>
      </c>
    </row>
    <row r="48" spans="2:29" x14ac:dyDescent="0.25">
      <c r="B48" t="s">
        <v>38</v>
      </c>
      <c r="D48">
        <v>0.8</v>
      </c>
      <c r="F48">
        <f t="shared" si="7"/>
        <v>0.4</v>
      </c>
      <c r="H48">
        <v>2.2999999999999998</v>
      </c>
      <c r="J48">
        <f t="shared" si="8"/>
        <v>1.1499999999999999</v>
      </c>
      <c r="S48" t="s">
        <v>38</v>
      </c>
      <c r="U48">
        <v>0.8</v>
      </c>
      <c r="W48">
        <f t="shared" si="9"/>
        <v>0.4</v>
      </c>
      <c r="Y48">
        <v>2.5</v>
      </c>
      <c r="AA48">
        <f t="shared" si="10"/>
        <v>1.25</v>
      </c>
    </row>
    <row r="49" spans="2:29" x14ac:dyDescent="0.25">
      <c r="B49" t="s">
        <v>21</v>
      </c>
      <c r="D49">
        <v>99</v>
      </c>
      <c r="F49">
        <f t="shared" si="7"/>
        <v>49.5</v>
      </c>
      <c r="H49">
        <v>91</v>
      </c>
      <c r="J49">
        <f t="shared" si="8"/>
        <v>45.5</v>
      </c>
      <c r="S49" t="s">
        <v>21</v>
      </c>
      <c r="U49">
        <v>98</v>
      </c>
      <c r="W49">
        <f t="shared" si="9"/>
        <v>49</v>
      </c>
      <c r="Y49">
        <v>90</v>
      </c>
      <c r="AA49">
        <f t="shared" si="10"/>
        <v>45</v>
      </c>
    </row>
    <row r="50" spans="2:29" x14ac:dyDescent="0.25">
      <c r="D50" t="s">
        <v>59</v>
      </c>
      <c r="H50" t="s">
        <v>52</v>
      </c>
      <c r="L50" s="1" t="s">
        <v>53</v>
      </c>
      <c r="U50" t="s">
        <v>52</v>
      </c>
      <c r="Y50" t="s">
        <v>51</v>
      </c>
      <c r="AC50" s="1" t="s">
        <v>53</v>
      </c>
    </row>
    <row r="51" spans="2:29" x14ac:dyDescent="0.25">
      <c r="B51" t="s">
        <v>22</v>
      </c>
      <c r="D51">
        <v>76</v>
      </c>
      <c r="F51">
        <f>SUM(D51:E51)/2</f>
        <v>38</v>
      </c>
      <c r="H51">
        <v>79</v>
      </c>
      <c r="J51">
        <f>SUM(H51:I51)/2</f>
        <v>39.5</v>
      </c>
      <c r="S51" t="s">
        <v>22</v>
      </c>
      <c r="U51">
        <v>92</v>
      </c>
      <c r="W51">
        <f>SUM(U51:V51)/2</f>
        <v>46</v>
      </c>
      <c r="Y51">
        <v>90</v>
      </c>
      <c r="AA51">
        <f>SUM(Y51:Z51)/2</f>
        <v>45</v>
      </c>
    </row>
    <row r="52" spans="2:29" x14ac:dyDescent="0.25">
      <c r="D52" t="s">
        <v>60</v>
      </c>
      <c r="H52" t="s">
        <v>51</v>
      </c>
      <c r="U52" t="s">
        <v>36</v>
      </c>
      <c r="Y52" t="s">
        <v>36</v>
      </c>
    </row>
    <row r="53" spans="2:29" x14ac:dyDescent="0.25">
      <c r="B53" t="s">
        <v>23</v>
      </c>
      <c r="D53">
        <v>100</v>
      </c>
      <c r="F53">
        <f>SUM(D53:E53)/2</f>
        <v>50</v>
      </c>
      <c r="H53">
        <v>100</v>
      </c>
      <c r="J53">
        <f>SUM(H53:I53)/2</f>
        <v>50</v>
      </c>
      <c r="S53" t="s">
        <v>23</v>
      </c>
      <c r="U53">
        <v>100</v>
      </c>
      <c r="W53">
        <f>SUM(U53:V53)/2</f>
        <v>50</v>
      </c>
      <c r="Y53">
        <v>100</v>
      </c>
      <c r="AA53">
        <f>SUM(Y53:Z53)/2</f>
        <v>50</v>
      </c>
    </row>
    <row r="54" spans="2:29" x14ac:dyDescent="0.25">
      <c r="H54" t="s">
        <v>36</v>
      </c>
    </row>
    <row r="55" spans="2:29" x14ac:dyDescent="0.25">
      <c r="B55" t="s">
        <v>24</v>
      </c>
      <c r="D55">
        <v>83</v>
      </c>
      <c r="F55">
        <f>SUM(D55:E55)/2</f>
        <v>41.5</v>
      </c>
      <c r="H55">
        <v>82</v>
      </c>
      <c r="J55">
        <f>SUM(H55:I55)/2</f>
        <v>41</v>
      </c>
      <c r="S55" t="s">
        <v>24</v>
      </c>
      <c r="U55">
        <v>83</v>
      </c>
      <c r="W55">
        <f>SUM(U55:V55)/2</f>
        <v>41.5</v>
      </c>
      <c r="Y55">
        <v>82</v>
      </c>
      <c r="AA55">
        <f>SUM(Y55:Z55)/2</f>
        <v>41</v>
      </c>
    </row>
    <row r="56" spans="2:29" x14ac:dyDescent="0.25">
      <c r="D56" t="s">
        <v>36</v>
      </c>
      <c r="U56" t="s">
        <v>36</v>
      </c>
      <c r="Y56" t="s">
        <v>36</v>
      </c>
    </row>
    <row r="58" spans="2:29" x14ac:dyDescent="0.25">
      <c r="D58" t="s">
        <v>11</v>
      </c>
      <c r="H58" t="s">
        <v>13</v>
      </c>
      <c r="U58" t="s">
        <v>11</v>
      </c>
      <c r="Y58" t="s">
        <v>13</v>
      </c>
    </row>
    <row r="59" spans="2:29" x14ac:dyDescent="0.25">
      <c r="C59" t="s">
        <v>40</v>
      </c>
      <c r="D59">
        <v>1</v>
      </c>
      <c r="E59">
        <v>2</v>
      </c>
      <c r="F59" t="s">
        <v>12</v>
      </c>
      <c r="H59">
        <v>1</v>
      </c>
      <c r="I59">
        <v>2</v>
      </c>
      <c r="J59" t="s">
        <v>12</v>
      </c>
      <c r="T59" t="s">
        <v>40</v>
      </c>
      <c r="U59">
        <v>1</v>
      </c>
      <c r="V59">
        <v>2</v>
      </c>
      <c r="W59" t="s">
        <v>12</v>
      </c>
      <c r="Y59">
        <v>1</v>
      </c>
      <c r="Z59">
        <v>2</v>
      </c>
      <c r="AA59" t="s">
        <v>12</v>
      </c>
    </row>
    <row r="60" spans="2:29" x14ac:dyDescent="0.25">
      <c r="B60" t="s">
        <v>17</v>
      </c>
      <c r="D60">
        <v>0.5</v>
      </c>
      <c r="F60">
        <f t="shared" ref="F60:F65" si="11">SUM(D60:E60)/2</f>
        <v>0.25</v>
      </c>
      <c r="H60">
        <v>2.7</v>
      </c>
      <c r="J60">
        <f t="shared" ref="J60:J65" si="12">SUM(H60:I60)/2</f>
        <v>1.35</v>
      </c>
      <c r="S60" t="s">
        <v>17</v>
      </c>
      <c r="U60">
        <v>0.5</v>
      </c>
      <c r="W60">
        <f t="shared" ref="W60:W65" si="13">SUM(U60:V60)/2</f>
        <v>0.25</v>
      </c>
      <c r="Y60">
        <v>2.5</v>
      </c>
      <c r="AA60">
        <f t="shared" ref="AA60:AA65" si="14">SUM(Y60:Z60)/2</f>
        <v>1.25</v>
      </c>
    </row>
    <row r="61" spans="2:29" x14ac:dyDescent="0.25">
      <c r="B61" t="s">
        <v>15</v>
      </c>
      <c r="D61">
        <v>0.7</v>
      </c>
      <c r="F61">
        <f t="shared" si="11"/>
        <v>0.35</v>
      </c>
      <c r="H61">
        <v>3.2</v>
      </c>
      <c r="J61">
        <f t="shared" si="12"/>
        <v>1.6</v>
      </c>
      <c r="S61" t="s">
        <v>15</v>
      </c>
      <c r="U61">
        <v>0.7</v>
      </c>
      <c r="W61">
        <f t="shared" si="13"/>
        <v>0.35</v>
      </c>
      <c r="Y61">
        <v>3</v>
      </c>
      <c r="AA61">
        <f t="shared" si="14"/>
        <v>1.5</v>
      </c>
    </row>
    <row r="62" spans="2:29" x14ac:dyDescent="0.25">
      <c r="B62" t="s">
        <v>25</v>
      </c>
      <c r="D62">
        <v>0</v>
      </c>
      <c r="F62">
        <f t="shared" si="11"/>
        <v>0</v>
      </c>
      <c r="H62">
        <v>0</v>
      </c>
      <c r="J62">
        <f t="shared" si="12"/>
        <v>0</v>
      </c>
      <c r="S62" t="s">
        <v>25</v>
      </c>
      <c r="U62">
        <v>0</v>
      </c>
      <c r="W62">
        <f t="shared" si="13"/>
        <v>0</v>
      </c>
      <c r="Y62">
        <v>70</v>
      </c>
      <c r="AA62">
        <f t="shared" si="14"/>
        <v>35</v>
      </c>
    </row>
    <row r="63" spans="2:29" x14ac:dyDescent="0.25">
      <c r="B63" t="s">
        <v>16</v>
      </c>
      <c r="D63">
        <v>1.7999999999999999E-2</v>
      </c>
      <c r="F63">
        <f t="shared" si="11"/>
        <v>8.9999999999999993E-3</v>
      </c>
      <c r="H63">
        <v>0.11</v>
      </c>
      <c r="J63">
        <f t="shared" si="12"/>
        <v>5.5E-2</v>
      </c>
      <c r="S63" t="s">
        <v>16</v>
      </c>
      <c r="U63">
        <v>3.5000000000000003E-2</v>
      </c>
      <c r="W63">
        <f t="shared" si="13"/>
        <v>1.7500000000000002E-2</v>
      </c>
      <c r="Y63">
        <v>8.0000000000000002E-3</v>
      </c>
      <c r="AA63">
        <f t="shared" si="14"/>
        <v>4.0000000000000001E-3</v>
      </c>
    </row>
    <row r="64" spans="2:29" x14ac:dyDescent="0.25">
      <c r="B64" t="s">
        <v>38</v>
      </c>
      <c r="D64">
        <v>0.5</v>
      </c>
      <c r="F64">
        <f t="shared" si="11"/>
        <v>0.25</v>
      </c>
      <c r="H64">
        <v>2.7</v>
      </c>
      <c r="J64">
        <f t="shared" si="12"/>
        <v>1.35</v>
      </c>
      <c r="K64" t="s">
        <v>55</v>
      </c>
      <c r="S64" t="s">
        <v>38</v>
      </c>
      <c r="U64">
        <v>0.5</v>
      </c>
      <c r="W64">
        <f t="shared" si="13"/>
        <v>0.25</v>
      </c>
      <c r="Y64">
        <v>2.5</v>
      </c>
      <c r="AA64">
        <f t="shared" si="14"/>
        <v>1.25</v>
      </c>
      <c r="AB64" t="s">
        <v>55</v>
      </c>
    </row>
    <row r="65" spans="2:29" x14ac:dyDescent="0.25">
      <c r="B65" t="s">
        <v>21</v>
      </c>
      <c r="D65">
        <v>100</v>
      </c>
      <c r="F65">
        <f t="shared" si="11"/>
        <v>50</v>
      </c>
      <c r="H65">
        <v>85</v>
      </c>
      <c r="J65">
        <f t="shared" si="12"/>
        <v>42.5</v>
      </c>
      <c r="K65" t="s">
        <v>54</v>
      </c>
      <c r="S65" t="s">
        <v>21</v>
      </c>
      <c r="U65">
        <v>99</v>
      </c>
      <c r="W65">
        <f t="shared" si="13"/>
        <v>49.5</v>
      </c>
      <c r="Y65">
        <v>89</v>
      </c>
      <c r="AA65">
        <f t="shared" si="14"/>
        <v>44.5</v>
      </c>
      <c r="AB65" t="s">
        <v>54</v>
      </c>
    </row>
    <row r="66" spans="2:29" x14ac:dyDescent="0.25">
      <c r="D66" t="s">
        <v>62</v>
      </c>
      <c r="H66" t="s">
        <v>50</v>
      </c>
      <c r="L66" s="1" t="s">
        <v>53</v>
      </c>
      <c r="U66" t="s">
        <v>58</v>
      </c>
      <c r="Y66" t="s">
        <v>66</v>
      </c>
      <c r="AC66" s="1" t="s">
        <v>53</v>
      </c>
    </row>
    <row r="67" spans="2:29" x14ac:dyDescent="0.25">
      <c r="B67" t="s">
        <v>22</v>
      </c>
      <c r="D67">
        <v>77</v>
      </c>
      <c r="F67">
        <f>SUM(D67:E67)/2</f>
        <v>38.5</v>
      </c>
      <c r="H67">
        <v>82</v>
      </c>
      <c r="J67">
        <f>SUM(H67:I67)/2</f>
        <v>41</v>
      </c>
      <c r="S67" t="s">
        <v>22</v>
      </c>
      <c r="U67">
        <v>91</v>
      </c>
      <c r="W67">
        <f>SUM(U67:V67)/2</f>
        <v>45.5</v>
      </c>
      <c r="Y67">
        <v>89</v>
      </c>
      <c r="AA67">
        <f>SUM(Y67:Z67)/2</f>
        <v>44.5</v>
      </c>
    </row>
    <row r="68" spans="2:29" x14ac:dyDescent="0.25">
      <c r="D68" t="s">
        <v>61</v>
      </c>
      <c r="H68" t="s">
        <v>49</v>
      </c>
      <c r="U68" t="s">
        <v>36</v>
      </c>
      <c r="Y68" t="s">
        <v>36</v>
      </c>
    </row>
    <row r="69" spans="2:29" x14ac:dyDescent="0.25">
      <c r="B69" t="s">
        <v>23</v>
      </c>
      <c r="D69">
        <v>100</v>
      </c>
      <c r="F69">
        <f>SUM(D69:E69)/2</f>
        <v>50</v>
      </c>
      <c r="H69">
        <v>100</v>
      </c>
      <c r="J69">
        <f>SUM(H69:I69)/2</f>
        <v>50</v>
      </c>
      <c r="S69" t="s">
        <v>23</v>
      </c>
      <c r="U69">
        <v>100</v>
      </c>
      <c r="W69">
        <f>SUM(U69:V69)/2</f>
        <v>50</v>
      </c>
      <c r="Y69">
        <v>100</v>
      </c>
      <c r="AA69">
        <f>SUM(Y69:Z69)/2</f>
        <v>50</v>
      </c>
    </row>
    <row r="71" spans="2:29" x14ac:dyDescent="0.25">
      <c r="B71" t="s">
        <v>24</v>
      </c>
      <c r="D71">
        <v>83</v>
      </c>
      <c r="F71">
        <f>SUM(D71:E71)/2</f>
        <v>41.5</v>
      </c>
      <c r="H71">
        <v>83</v>
      </c>
      <c r="J71">
        <f>SUM(H71:I71)/2</f>
        <v>41.5</v>
      </c>
      <c r="S71" t="s">
        <v>24</v>
      </c>
      <c r="U71">
        <v>83</v>
      </c>
      <c r="W71">
        <f>SUM(U71:V71)/2</f>
        <v>41.5</v>
      </c>
      <c r="Y71">
        <v>83</v>
      </c>
      <c r="AA71">
        <f>SUM(Y71:Z71)/2</f>
        <v>41.5</v>
      </c>
    </row>
    <row r="72" spans="2:29" x14ac:dyDescent="0.25">
      <c r="D72" t="s">
        <v>36</v>
      </c>
      <c r="H72" t="s">
        <v>36</v>
      </c>
      <c r="U72" t="s">
        <v>36</v>
      </c>
      <c r="Y72" t="s">
        <v>36</v>
      </c>
    </row>
    <row r="74" spans="2:29" x14ac:dyDescent="0.25">
      <c r="D74" t="s">
        <v>11</v>
      </c>
      <c r="H74" t="s">
        <v>13</v>
      </c>
      <c r="U74" t="s">
        <v>11</v>
      </c>
      <c r="Y74" t="s">
        <v>13</v>
      </c>
    </row>
    <row r="75" spans="2:29" x14ac:dyDescent="0.25">
      <c r="C75" t="s">
        <v>41</v>
      </c>
      <c r="D75">
        <v>1</v>
      </c>
      <c r="E75">
        <v>2</v>
      </c>
      <c r="F75" t="s">
        <v>12</v>
      </c>
      <c r="H75">
        <v>1</v>
      </c>
      <c r="I75">
        <v>2</v>
      </c>
      <c r="J75" t="s">
        <v>12</v>
      </c>
      <c r="T75" t="s">
        <v>41</v>
      </c>
      <c r="U75">
        <v>1</v>
      </c>
      <c r="V75">
        <v>2</v>
      </c>
      <c r="W75" t="s">
        <v>12</v>
      </c>
      <c r="Y75">
        <v>1</v>
      </c>
      <c r="Z75">
        <v>2</v>
      </c>
      <c r="AA75" t="s">
        <v>12</v>
      </c>
    </row>
    <row r="76" spans="2:29" x14ac:dyDescent="0.25">
      <c r="B76" t="s">
        <v>17</v>
      </c>
      <c r="D76">
        <v>0.5</v>
      </c>
      <c r="F76">
        <f t="shared" ref="F76:F81" si="15">SUM(D76:E76)/2</f>
        <v>0.25</v>
      </c>
      <c r="H76">
        <v>2.1</v>
      </c>
      <c r="J76">
        <f t="shared" ref="J76:J81" si="16">SUM(H76:I76)/2</f>
        <v>1.05</v>
      </c>
      <c r="S76" t="s">
        <v>17</v>
      </c>
      <c r="U76">
        <v>0.6</v>
      </c>
      <c r="W76">
        <f t="shared" ref="W76:W81" si="17">SUM(U76:V76)/2</f>
        <v>0.3</v>
      </c>
      <c r="Y76">
        <v>2.5</v>
      </c>
      <c r="AA76">
        <f t="shared" ref="AA76:AA81" si="18">SUM(Y76:Z76)/2</f>
        <v>1.25</v>
      </c>
    </row>
    <row r="77" spans="2:29" x14ac:dyDescent="0.25">
      <c r="B77" t="s">
        <v>15</v>
      </c>
      <c r="D77">
        <v>0.7</v>
      </c>
      <c r="F77">
        <f t="shared" si="15"/>
        <v>0.35</v>
      </c>
      <c r="H77">
        <v>2.5</v>
      </c>
      <c r="J77">
        <f t="shared" si="16"/>
        <v>1.25</v>
      </c>
      <c r="S77" t="s">
        <v>15</v>
      </c>
      <c r="U77">
        <v>0.7</v>
      </c>
      <c r="W77">
        <f t="shared" si="17"/>
        <v>0.35</v>
      </c>
      <c r="Y77">
        <v>3</v>
      </c>
      <c r="AA77">
        <f t="shared" si="18"/>
        <v>1.5</v>
      </c>
    </row>
    <row r="78" spans="2:29" x14ac:dyDescent="0.25">
      <c r="B78" t="s">
        <v>25</v>
      </c>
      <c r="D78">
        <v>0</v>
      </c>
      <c r="F78">
        <f t="shared" si="15"/>
        <v>0</v>
      </c>
      <c r="H78">
        <v>0</v>
      </c>
      <c r="J78">
        <f t="shared" si="16"/>
        <v>0</v>
      </c>
      <c r="S78" t="s">
        <v>25</v>
      </c>
      <c r="U78">
        <v>0</v>
      </c>
      <c r="W78">
        <f t="shared" si="17"/>
        <v>0</v>
      </c>
      <c r="Y78">
        <v>70</v>
      </c>
      <c r="AA78">
        <f t="shared" si="18"/>
        <v>35</v>
      </c>
    </row>
    <row r="79" spans="2:29" x14ac:dyDescent="0.25">
      <c r="B79" t="s">
        <v>16</v>
      </c>
      <c r="D79">
        <v>3.0000000000000001E-3</v>
      </c>
      <c r="F79">
        <f t="shared" si="15"/>
        <v>1.5E-3</v>
      </c>
      <c r="H79">
        <v>2.9000000000000001E-2</v>
      </c>
      <c r="J79">
        <f t="shared" si="16"/>
        <v>1.4500000000000001E-2</v>
      </c>
      <c r="S79" t="s">
        <v>16</v>
      </c>
      <c r="U79">
        <v>3.0000000000000001E-3</v>
      </c>
      <c r="W79">
        <f t="shared" si="17"/>
        <v>1.5E-3</v>
      </c>
      <c r="Y79">
        <v>8.1000000000000003E-2</v>
      </c>
      <c r="AA79">
        <f t="shared" si="18"/>
        <v>4.0500000000000001E-2</v>
      </c>
    </row>
    <row r="80" spans="2:29" x14ac:dyDescent="0.25">
      <c r="B80" t="s">
        <v>38</v>
      </c>
      <c r="D80">
        <v>0.5</v>
      </c>
      <c r="F80">
        <f t="shared" si="15"/>
        <v>0.25</v>
      </c>
      <c r="H80">
        <v>2.1</v>
      </c>
      <c r="J80">
        <f t="shared" si="16"/>
        <v>1.05</v>
      </c>
      <c r="S80" t="s">
        <v>38</v>
      </c>
      <c r="U80">
        <v>0.6</v>
      </c>
      <c r="W80">
        <f t="shared" si="17"/>
        <v>0.3</v>
      </c>
      <c r="Y80">
        <v>2.5</v>
      </c>
      <c r="AA80">
        <f t="shared" si="18"/>
        <v>1.25</v>
      </c>
    </row>
    <row r="81" spans="2:29" x14ac:dyDescent="0.25">
      <c r="B81" t="s">
        <v>21</v>
      </c>
      <c r="D81">
        <v>100</v>
      </c>
      <c r="F81">
        <f t="shared" si="15"/>
        <v>50</v>
      </c>
      <c r="H81">
        <v>95</v>
      </c>
      <c r="J81">
        <f t="shared" si="16"/>
        <v>47.5</v>
      </c>
      <c r="S81" t="s">
        <v>21</v>
      </c>
      <c r="U81">
        <v>100</v>
      </c>
      <c r="W81">
        <f t="shared" si="17"/>
        <v>50</v>
      </c>
      <c r="Y81">
        <v>89</v>
      </c>
      <c r="AA81">
        <f t="shared" si="18"/>
        <v>44.5</v>
      </c>
    </row>
    <row r="82" spans="2:29" x14ac:dyDescent="0.25">
      <c r="D82" t="s">
        <v>57</v>
      </c>
      <c r="H82" t="s">
        <v>52</v>
      </c>
      <c r="L82" s="1" t="s">
        <v>53</v>
      </c>
      <c r="U82" t="s">
        <v>52</v>
      </c>
      <c r="Y82" t="s">
        <v>66</v>
      </c>
      <c r="AC82" s="1" t="s">
        <v>53</v>
      </c>
    </row>
    <row r="83" spans="2:29" x14ac:dyDescent="0.25">
      <c r="B83" t="s">
        <v>22</v>
      </c>
      <c r="D83">
        <v>77</v>
      </c>
      <c r="F83">
        <f>SUM(D83:E83)/2</f>
        <v>38.5</v>
      </c>
      <c r="H83">
        <v>82</v>
      </c>
      <c r="J83">
        <f>SUM(H83:I83)/2</f>
        <v>41</v>
      </c>
      <c r="S83" t="s">
        <v>22</v>
      </c>
      <c r="U83">
        <v>91</v>
      </c>
      <c r="W83">
        <f>SUM(U83:V83)/2</f>
        <v>45.5</v>
      </c>
      <c r="Y83">
        <v>89</v>
      </c>
      <c r="AA83">
        <f>SUM(Y83:Z83)/2</f>
        <v>44.5</v>
      </c>
    </row>
    <row r="84" spans="2:29" x14ac:dyDescent="0.25">
      <c r="D84" t="s">
        <v>61</v>
      </c>
      <c r="H84" t="s">
        <v>49</v>
      </c>
      <c r="U84" t="s">
        <v>36</v>
      </c>
      <c r="Y84" t="s">
        <v>36</v>
      </c>
    </row>
    <row r="85" spans="2:29" x14ac:dyDescent="0.25">
      <c r="B85" t="s">
        <v>23</v>
      </c>
      <c r="D85">
        <v>100</v>
      </c>
      <c r="F85">
        <f>SUM(D85:E85)/2</f>
        <v>50</v>
      </c>
      <c r="H85">
        <v>100</v>
      </c>
      <c r="J85">
        <f>SUM(H85:I85)/2</f>
        <v>50</v>
      </c>
      <c r="S85" t="s">
        <v>23</v>
      </c>
      <c r="U85">
        <v>100</v>
      </c>
      <c r="W85">
        <f>SUM(U85:V85)/2</f>
        <v>50</v>
      </c>
      <c r="Y85">
        <v>100</v>
      </c>
      <c r="AA85">
        <f>SUM(Y85:Z85)/2</f>
        <v>50</v>
      </c>
    </row>
    <row r="87" spans="2:29" x14ac:dyDescent="0.25">
      <c r="B87" t="s">
        <v>24</v>
      </c>
      <c r="D87">
        <v>83</v>
      </c>
      <c r="F87">
        <f>SUM(D87:E87)/2</f>
        <v>41.5</v>
      </c>
      <c r="H87">
        <v>83</v>
      </c>
      <c r="J87">
        <f>SUM(H87:I87)/2</f>
        <v>41.5</v>
      </c>
      <c r="S87" t="s">
        <v>24</v>
      </c>
      <c r="U87">
        <v>83</v>
      </c>
      <c r="W87">
        <f>SUM(U87:V87)/2</f>
        <v>41.5</v>
      </c>
      <c r="Y87">
        <v>83</v>
      </c>
      <c r="AA87">
        <f>SUM(Y87:Z87)/2</f>
        <v>41.5</v>
      </c>
    </row>
    <row r="88" spans="2:29" x14ac:dyDescent="0.25">
      <c r="D88" t="s">
        <v>36</v>
      </c>
      <c r="H88" t="s">
        <v>36</v>
      </c>
      <c r="U88" t="s">
        <v>36</v>
      </c>
      <c r="Y88" t="s">
        <v>36</v>
      </c>
    </row>
    <row r="90" spans="2:29" x14ac:dyDescent="0.25">
      <c r="D90" t="s">
        <v>11</v>
      </c>
      <c r="H90" t="s">
        <v>13</v>
      </c>
      <c r="U90" t="s">
        <v>11</v>
      </c>
      <c r="Y90" t="s">
        <v>13</v>
      </c>
    </row>
    <row r="91" spans="2:29" x14ac:dyDescent="0.25">
      <c r="C91" t="s">
        <v>31</v>
      </c>
      <c r="D91">
        <v>1</v>
      </c>
      <c r="E91">
        <v>2</v>
      </c>
      <c r="F91" t="s">
        <v>12</v>
      </c>
      <c r="H91">
        <v>1</v>
      </c>
      <c r="I91">
        <v>2</v>
      </c>
      <c r="J91" t="s">
        <v>12</v>
      </c>
      <c r="T91" t="s">
        <v>31</v>
      </c>
      <c r="U91">
        <v>1</v>
      </c>
      <c r="V91">
        <v>2</v>
      </c>
      <c r="W91" t="s">
        <v>12</v>
      </c>
      <c r="Y91">
        <v>1</v>
      </c>
      <c r="Z91">
        <v>2</v>
      </c>
      <c r="AA91" t="s">
        <v>12</v>
      </c>
    </row>
    <row r="92" spans="2:29" x14ac:dyDescent="0.25">
      <c r="B92" t="s">
        <v>17</v>
      </c>
      <c r="D92">
        <v>0.8</v>
      </c>
      <c r="F92">
        <f t="shared" ref="F92:F97" si="19">SUM(D92:E92)/2</f>
        <v>0.4</v>
      </c>
      <c r="H92">
        <v>2.1</v>
      </c>
      <c r="J92">
        <f t="shared" ref="J92:J97" si="20">SUM(H92:I92)/2</f>
        <v>1.05</v>
      </c>
      <c r="S92" t="s">
        <v>17</v>
      </c>
      <c r="U92">
        <v>0.9</v>
      </c>
      <c r="W92">
        <f t="shared" ref="W92:W98" si="21">SUM(U92:V92)/2</f>
        <v>0.45</v>
      </c>
      <c r="Y92">
        <v>2.4</v>
      </c>
      <c r="AA92">
        <f t="shared" ref="AA92:AA97" si="22">SUM(Y92:Z92)/2</f>
        <v>1.2</v>
      </c>
    </row>
    <row r="93" spans="2:29" x14ac:dyDescent="0.25">
      <c r="B93" t="s">
        <v>15</v>
      </c>
      <c r="D93">
        <v>1</v>
      </c>
      <c r="F93">
        <f t="shared" si="19"/>
        <v>0.5</v>
      </c>
      <c r="H93">
        <v>4.0999999999999996</v>
      </c>
      <c r="J93">
        <f t="shared" si="20"/>
        <v>2.0499999999999998</v>
      </c>
      <c r="S93" t="s">
        <v>15</v>
      </c>
      <c r="U93">
        <v>1.1000000000000001</v>
      </c>
      <c r="W93">
        <f t="shared" si="21"/>
        <v>0.55000000000000004</v>
      </c>
      <c r="Y93">
        <v>4.4000000000000004</v>
      </c>
      <c r="AA93">
        <f t="shared" si="22"/>
        <v>2.2000000000000002</v>
      </c>
    </row>
    <row r="94" spans="2:29" x14ac:dyDescent="0.25">
      <c r="B94" t="s">
        <v>25</v>
      </c>
      <c r="D94">
        <v>0</v>
      </c>
      <c r="F94">
        <f t="shared" si="19"/>
        <v>0</v>
      </c>
      <c r="H94">
        <v>0</v>
      </c>
      <c r="J94">
        <f t="shared" si="20"/>
        <v>0</v>
      </c>
      <c r="S94" t="s">
        <v>25</v>
      </c>
      <c r="U94">
        <v>0</v>
      </c>
      <c r="W94">
        <f t="shared" si="21"/>
        <v>0</v>
      </c>
      <c r="Y94">
        <v>30</v>
      </c>
      <c r="AA94">
        <f t="shared" si="22"/>
        <v>15</v>
      </c>
    </row>
    <row r="95" spans="2:29" x14ac:dyDescent="0.25">
      <c r="B95" t="s">
        <v>16</v>
      </c>
      <c r="D95">
        <v>0</v>
      </c>
      <c r="F95">
        <f t="shared" si="19"/>
        <v>0</v>
      </c>
      <c r="H95">
        <v>3.0000000000000001E-3</v>
      </c>
      <c r="J95">
        <f t="shared" si="20"/>
        <v>1.5E-3</v>
      </c>
      <c r="S95" t="s">
        <v>16</v>
      </c>
      <c r="U95">
        <v>0</v>
      </c>
      <c r="W95">
        <f t="shared" si="21"/>
        <v>0</v>
      </c>
      <c r="Y95">
        <v>2.0000000000000001E-4</v>
      </c>
      <c r="AA95">
        <f t="shared" si="22"/>
        <v>1E-4</v>
      </c>
    </row>
    <row r="96" spans="2:29" x14ac:dyDescent="0.25">
      <c r="B96" t="s">
        <v>38</v>
      </c>
      <c r="D96">
        <v>0.8</v>
      </c>
      <c r="F96">
        <f t="shared" si="19"/>
        <v>0.4</v>
      </c>
      <c r="H96" s="2">
        <v>2.1</v>
      </c>
      <c r="J96">
        <f t="shared" si="20"/>
        <v>1.05</v>
      </c>
      <c r="S96" t="s">
        <v>38</v>
      </c>
      <c r="U96">
        <v>0.9</v>
      </c>
      <c r="W96">
        <f t="shared" si="21"/>
        <v>0.45</v>
      </c>
      <c r="Y96">
        <v>2.4</v>
      </c>
      <c r="AA96">
        <f t="shared" si="22"/>
        <v>1.2</v>
      </c>
    </row>
    <row r="97" spans="2:27" x14ac:dyDescent="0.25">
      <c r="B97" t="s">
        <v>21</v>
      </c>
      <c r="D97">
        <v>98</v>
      </c>
      <c r="F97">
        <f t="shared" si="19"/>
        <v>49</v>
      </c>
      <c r="H97">
        <v>85</v>
      </c>
      <c r="J97">
        <f t="shared" si="20"/>
        <v>42.5</v>
      </c>
      <c r="S97" t="s">
        <v>21</v>
      </c>
      <c r="U97">
        <v>97</v>
      </c>
      <c r="W97">
        <f t="shared" si="21"/>
        <v>48.5</v>
      </c>
      <c r="Y97">
        <v>82</v>
      </c>
      <c r="AA97">
        <f t="shared" si="22"/>
        <v>41</v>
      </c>
    </row>
    <row r="98" spans="2:27" x14ac:dyDescent="0.25">
      <c r="D98" t="s">
        <v>49</v>
      </c>
      <c r="H98" t="s">
        <v>56</v>
      </c>
      <c r="U98" t="s">
        <v>56</v>
      </c>
      <c r="W98">
        <f t="shared" si="21"/>
        <v>0</v>
      </c>
      <c r="Y98" t="s">
        <v>61</v>
      </c>
    </row>
    <row r="99" spans="2:27" x14ac:dyDescent="0.25">
      <c r="B99" t="s">
        <v>22</v>
      </c>
      <c r="D99">
        <v>67</v>
      </c>
      <c r="F99">
        <f>SUM(D99:E99)/2</f>
        <v>33.5</v>
      </c>
      <c r="H99">
        <v>67</v>
      </c>
      <c r="J99">
        <f>SUM(H99:I99)/2</f>
        <v>33.5</v>
      </c>
      <c r="S99" t="s">
        <v>22</v>
      </c>
      <c r="U99">
        <v>76</v>
      </c>
      <c r="W99">
        <f>SUM(U99:V99)/2</f>
        <v>38</v>
      </c>
      <c r="Y99">
        <v>76</v>
      </c>
      <c r="AA99">
        <f>SUM(Y99:Z99)/2</f>
        <v>38</v>
      </c>
    </row>
    <row r="100" spans="2:27" x14ac:dyDescent="0.25">
      <c r="D100" t="s">
        <v>51</v>
      </c>
      <c r="H100" t="s">
        <v>51</v>
      </c>
      <c r="U100" t="s">
        <v>49</v>
      </c>
      <c r="Y100" t="s">
        <v>49</v>
      </c>
    </row>
    <row r="101" spans="2:27" x14ac:dyDescent="0.25">
      <c r="B101" t="s">
        <v>23</v>
      </c>
      <c r="D101">
        <v>100</v>
      </c>
      <c r="F101">
        <f>SUM(D101:E101)/2</f>
        <v>50</v>
      </c>
      <c r="H101">
        <v>100</v>
      </c>
      <c r="J101">
        <f>SUM(H101:I101)/2</f>
        <v>50</v>
      </c>
      <c r="S101" t="s">
        <v>23</v>
      </c>
      <c r="U101">
        <v>100</v>
      </c>
      <c r="W101">
        <f>SUM(U101:V101)/2</f>
        <v>50</v>
      </c>
      <c r="Y101">
        <v>100</v>
      </c>
      <c r="AA101">
        <f>SUM(Y101:Z101)/2</f>
        <v>50</v>
      </c>
    </row>
    <row r="103" spans="2:27" x14ac:dyDescent="0.25">
      <c r="B103" t="s">
        <v>24</v>
      </c>
      <c r="D103">
        <v>83</v>
      </c>
      <c r="F103">
        <f>SUM(D103:E103)/2</f>
        <v>41.5</v>
      </c>
      <c r="H103">
        <v>83</v>
      </c>
      <c r="J103">
        <f>SUM(H103:I103)/2</f>
        <v>41.5</v>
      </c>
      <c r="S103" t="s">
        <v>24</v>
      </c>
      <c r="U103">
        <v>83</v>
      </c>
      <c r="W103">
        <f>SUM(U103:V103)/2</f>
        <v>41.5</v>
      </c>
      <c r="Y103">
        <v>83</v>
      </c>
      <c r="AA103">
        <f>SUM(Y103:Z103)/2</f>
        <v>41.5</v>
      </c>
    </row>
    <row r="104" spans="2:27" x14ac:dyDescent="0.25">
      <c r="D104" t="s">
        <v>36</v>
      </c>
      <c r="H104" t="s">
        <v>36</v>
      </c>
      <c r="U104" t="s">
        <v>36</v>
      </c>
      <c r="Y104" t="s">
        <v>36</v>
      </c>
    </row>
    <row r="106" spans="2:27" x14ac:dyDescent="0.25">
      <c r="D106" t="s">
        <v>11</v>
      </c>
      <c r="H106" t="s">
        <v>13</v>
      </c>
      <c r="U106" t="s">
        <v>11</v>
      </c>
      <c r="Y106" t="s">
        <v>13</v>
      </c>
    </row>
    <row r="107" spans="2:27" x14ac:dyDescent="0.25">
      <c r="C107" t="s">
        <v>32</v>
      </c>
      <c r="D107">
        <v>1</v>
      </c>
      <c r="E107">
        <v>2</v>
      </c>
      <c r="F107" t="s">
        <v>12</v>
      </c>
      <c r="H107">
        <v>1</v>
      </c>
      <c r="I107">
        <v>2</v>
      </c>
      <c r="J107" t="s">
        <v>12</v>
      </c>
      <c r="T107" t="s">
        <v>32</v>
      </c>
      <c r="U107">
        <v>1</v>
      </c>
      <c r="V107">
        <v>2</v>
      </c>
      <c r="W107" t="s">
        <v>12</v>
      </c>
      <c r="Y107">
        <v>1</v>
      </c>
      <c r="Z107">
        <v>2</v>
      </c>
      <c r="AA107" t="s">
        <v>12</v>
      </c>
    </row>
    <row r="108" spans="2:27" x14ac:dyDescent="0.25">
      <c r="B108" t="s">
        <v>17</v>
      </c>
      <c r="D108">
        <v>0.7</v>
      </c>
      <c r="F108">
        <f t="shared" ref="F108:F113" si="23">SUM(D108:E108)/2</f>
        <v>0.35</v>
      </c>
      <c r="H108">
        <v>2.8</v>
      </c>
      <c r="J108">
        <f t="shared" ref="J108:J113" si="24">SUM(H108:I108)/2</f>
        <v>1.4</v>
      </c>
      <c r="S108" t="s">
        <v>17</v>
      </c>
      <c r="U108">
        <v>0.8</v>
      </c>
      <c r="W108">
        <f t="shared" ref="W108:W113" si="25">SUM(U108:V108)/2</f>
        <v>0.4</v>
      </c>
      <c r="Y108">
        <v>2.4</v>
      </c>
      <c r="AA108">
        <f t="shared" ref="AA108:AA114" si="26">SUM(Y108:Z108)/2</f>
        <v>1.2</v>
      </c>
    </row>
    <row r="109" spans="2:27" x14ac:dyDescent="0.25">
      <c r="B109" t="s">
        <v>15</v>
      </c>
      <c r="D109">
        <v>0.9</v>
      </c>
      <c r="F109">
        <f t="shared" si="23"/>
        <v>0.45</v>
      </c>
      <c r="H109">
        <v>4.5</v>
      </c>
      <c r="J109">
        <f t="shared" si="24"/>
        <v>2.25</v>
      </c>
      <c r="S109" t="s">
        <v>15</v>
      </c>
      <c r="U109">
        <v>1</v>
      </c>
      <c r="W109">
        <f t="shared" si="25"/>
        <v>0.5</v>
      </c>
      <c r="Y109">
        <v>4.4000000000000004</v>
      </c>
      <c r="AA109">
        <f t="shared" si="26"/>
        <v>2.2000000000000002</v>
      </c>
    </row>
    <row r="110" spans="2:27" x14ac:dyDescent="0.25">
      <c r="B110" t="s">
        <v>25</v>
      </c>
      <c r="D110">
        <v>0</v>
      </c>
      <c r="F110">
        <f t="shared" si="23"/>
        <v>0</v>
      </c>
      <c r="H110">
        <v>0</v>
      </c>
      <c r="J110">
        <f t="shared" si="24"/>
        <v>0</v>
      </c>
      <c r="S110" t="s">
        <v>25</v>
      </c>
      <c r="U110">
        <v>0</v>
      </c>
      <c r="W110">
        <f t="shared" si="25"/>
        <v>0</v>
      </c>
      <c r="Y110">
        <v>0</v>
      </c>
      <c r="AA110">
        <f t="shared" si="26"/>
        <v>0</v>
      </c>
    </row>
    <row r="111" spans="2:27" x14ac:dyDescent="0.25">
      <c r="B111" t="s">
        <v>16</v>
      </c>
      <c r="D111">
        <v>0</v>
      </c>
      <c r="F111">
        <f t="shared" si="23"/>
        <v>0</v>
      </c>
      <c r="H111">
        <v>1E-3</v>
      </c>
      <c r="J111">
        <f t="shared" si="24"/>
        <v>5.0000000000000001E-4</v>
      </c>
      <c r="S111" t="s">
        <v>16</v>
      </c>
      <c r="U111">
        <v>0</v>
      </c>
      <c r="W111">
        <f t="shared" si="25"/>
        <v>0</v>
      </c>
      <c r="Y111">
        <v>1E-3</v>
      </c>
      <c r="AA111">
        <f t="shared" si="26"/>
        <v>5.0000000000000001E-4</v>
      </c>
    </row>
    <row r="112" spans="2:27" x14ac:dyDescent="0.25">
      <c r="B112" t="s">
        <v>38</v>
      </c>
      <c r="D112">
        <v>0.7</v>
      </c>
      <c r="F112">
        <f t="shared" si="23"/>
        <v>0.35</v>
      </c>
      <c r="H112">
        <v>2.8</v>
      </c>
      <c r="J112">
        <f t="shared" si="24"/>
        <v>1.4</v>
      </c>
      <c r="S112" t="s">
        <v>38</v>
      </c>
      <c r="U112">
        <v>0.8</v>
      </c>
      <c r="W112">
        <f t="shared" si="25"/>
        <v>0.4</v>
      </c>
      <c r="Y112">
        <v>2.4</v>
      </c>
      <c r="AA112">
        <f t="shared" si="26"/>
        <v>1.2</v>
      </c>
    </row>
    <row r="113" spans="2:27" x14ac:dyDescent="0.25">
      <c r="B113" t="s">
        <v>21</v>
      </c>
      <c r="D113">
        <v>99</v>
      </c>
      <c r="F113">
        <f t="shared" si="23"/>
        <v>49.5</v>
      </c>
      <c r="H113">
        <v>80</v>
      </c>
      <c r="J113">
        <f t="shared" si="24"/>
        <v>40</v>
      </c>
      <c r="S113" t="s">
        <v>21</v>
      </c>
      <c r="U113">
        <v>98</v>
      </c>
      <c r="W113">
        <f t="shared" si="25"/>
        <v>49</v>
      </c>
      <c r="Y113">
        <v>82</v>
      </c>
      <c r="AA113">
        <f t="shared" si="26"/>
        <v>41</v>
      </c>
    </row>
    <row r="114" spans="2:27" x14ac:dyDescent="0.25">
      <c r="D114" t="s">
        <v>36</v>
      </c>
      <c r="H114" t="s">
        <v>56</v>
      </c>
      <c r="U114" t="s">
        <v>51</v>
      </c>
      <c r="Y114" t="s">
        <v>61</v>
      </c>
      <c r="AA114">
        <f t="shared" si="26"/>
        <v>0</v>
      </c>
    </row>
    <row r="115" spans="2:27" x14ac:dyDescent="0.25">
      <c r="B115" t="s">
        <v>22</v>
      </c>
      <c r="D115">
        <v>67</v>
      </c>
      <c r="F115">
        <f>SUM(D115:E115)/2</f>
        <v>33.5</v>
      </c>
      <c r="H115">
        <v>67</v>
      </c>
      <c r="J115">
        <f>SUM(H115:I115)/2</f>
        <v>33.5</v>
      </c>
      <c r="S115" t="s">
        <v>22</v>
      </c>
      <c r="U115">
        <v>85</v>
      </c>
      <c r="W115">
        <f>SUM(U115:V115)/2</f>
        <v>42.5</v>
      </c>
      <c r="Y115">
        <v>85</v>
      </c>
      <c r="AA115">
        <f>SUM(Y115:Z115)/2</f>
        <v>42.5</v>
      </c>
    </row>
    <row r="116" spans="2:27" x14ac:dyDescent="0.25">
      <c r="D116" t="s">
        <v>51</v>
      </c>
      <c r="H116" t="s">
        <v>51</v>
      </c>
      <c r="U116" t="s">
        <v>49</v>
      </c>
      <c r="Y116" t="s">
        <v>49</v>
      </c>
    </row>
    <row r="117" spans="2:27" x14ac:dyDescent="0.25">
      <c r="B117" t="s">
        <v>23</v>
      </c>
      <c r="D117">
        <v>100</v>
      </c>
      <c r="F117">
        <f>SUM(D117:E117)/2</f>
        <v>50</v>
      </c>
      <c r="H117">
        <v>100</v>
      </c>
      <c r="J117">
        <f>SUM(H117:I117)/2</f>
        <v>50</v>
      </c>
      <c r="S117" t="s">
        <v>23</v>
      </c>
      <c r="U117">
        <v>100</v>
      </c>
      <c r="W117">
        <f>SUM(U117:V117)/2</f>
        <v>50</v>
      </c>
      <c r="Y117">
        <v>100</v>
      </c>
      <c r="AA117">
        <f>SUM(Y117:Z117)/2</f>
        <v>50</v>
      </c>
    </row>
    <row r="119" spans="2:27" x14ac:dyDescent="0.25">
      <c r="B119" t="s">
        <v>24</v>
      </c>
      <c r="D119">
        <v>83</v>
      </c>
      <c r="F119">
        <f>SUM(D119:E119)/2</f>
        <v>41.5</v>
      </c>
      <c r="H119">
        <v>83</v>
      </c>
      <c r="J119">
        <f>SUM(H119:I119)/2</f>
        <v>41.5</v>
      </c>
      <c r="S119" t="s">
        <v>24</v>
      </c>
      <c r="U119">
        <v>83</v>
      </c>
      <c r="W119">
        <f>SUM(U119:V119)/2</f>
        <v>41.5</v>
      </c>
      <c r="Y119">
        <v>83</v>
      </c>
      <c r="AA119">
        <f>SUM(Y119:Z119)/2</f>
        <v>41.5</v>
      </c>
    </row>
    <row r="120" spans="2:27" x14ac:dyDescent="0.25">
      <c r="D120" t="s">
        <v>36</v>
      </c>
      <c r="H120" t="s">
        <v>36</v>
      </c>
      <c r="U120" t="s">
        <v>36</v>
      </c>
      <c r="Y120" t="s">
        <v>36</v>
      </c>
    </row>
    <row r="123" spans="2:27" x14ac:dyDescent="0.25">
      <c r="D123" t="s">
        <v>11</v>
      </c>
      <c r="H123" t="s">
        <v>13</v>
      </c>
      <c r="U123" t="s">
        <v>11</v>
      </c>
      <c r="Y123" t="s">
        <v>13</v>
      </c>
    </row>
    <row r="124" spans="2:27" x14ac:dyDescent="0.25">
      <c r="C124" t="s">
        <v>43</v>
      </c>
      <c r="D124">
        <v>1</v>
      </c>
      <c r="E124">
        <v>2</v>
      </c>
      <c r="F124" t="s">
        <v>12</v>
      </c>
      <c r="H124">
        <v>1</v>
      </c>
      <c r="I124">
        <v>2</v>
      </c>
      <c r="J124" t="s">
        <v>12</v>
      </c>
      <c r="T124" t="s">
        <v>43</v>
      </c>
      <c r="U124">
        <v>1</v>
      </c>
      <c r="V124">
        <v>2</v>
      </c>
      <c r="W124" t="s">
        <v>12</v>
      </c>
      <c r="Y124">
        <v>1</v>
      </c>
      <c r="Z124">
        <v>2</v>
      </c>
      <c r="AA124" t="s">
        <v>12</v>
      </c>
    </row>
    <row r="125" spans="2:27" x14ac:dyDescent="0.25">
      <c r="B125" t="s">
        <v>17</v>
      </c>
      <c r="D125">
        <v>0.7</v>
      </c>
      <c r="F125">
        <f t="shared" ref="F125:F130" si="27">SUM(D125:E125)/2</f>
        <v>0.35</v>
      </c>
      <c r="H125">
        <v>2.1</v>
      </c>
      <c r="J125">
        <f t="shared" ref="J125:J130" si="28">SUM(H125:I125)/2</f>
        <v>1.05</v>
      </c>
      <c r="S125" t="s">
        <v>17</v>
      </c>
      <c r="U125">
        <v>0.5</v>
      </c>
      <c r="W125">
        <f t="shared" ref="W125:W130" si="29">SUM(U125:V125)/2</f>
        <v>0.25</v>
      </c>
      <c r="Y125">
        <v>3.4</v>
      </c>
      <c r="AA125">
        <f t="shared" ref="AA125:AA130" si="30">SUM(Y125:Z125)/2</f>
        <v>1.7</v>
      </c>
    </row>
    <row r="126" spans="2:27" x14ac:dyDescent="0.25">
      <c r="B126" t="s">
        <v>15</v>
      </c>
      <c r="D126">
        <v>0.7</v>
      </c>
      <c r="F126">
        <f t="shared" si="27"/>
        <v>0.35</v>
      </c>
      <c r="H126">
        <v>2.2000000000000002</v>
      </c>
      <c r="J126">
        <f t="shared" si="28"/>
        <v>1.1000000000000001</v>
      </c>
      <c r="S126" t="s">
        <v>15</v>
      </c>
      <c r="U126">
        <v>0.5</v>
      </c>
      <c r="W126">
        <f t="shared" si="29"/>
        <v>0.25</v>
      </c>
      <c r="Y126">
        <v>3.7</v>
      </c>
      <c r="AA126">
        <f t="shared" si="30"/>
        <v>1.85</v>
      </c>
    </row>
    <row r="127" spans="2:27" x14ac:dyDescent="0.25">
      <c r="B127" t="s">
        <v>25</v>
      </c>
      <c r="D127">
        <v>0</v>
      </c>
      <c r="F127">
        <f t="shared" si="27"/>
        <v>0</v>
      </c>
      <c r="H127">
        <v>10</v>
      </c>
      <c r="J127">
        <f t="shared" si="28"/>
        <v>5</v>
      </c>
      <c r="S127" t="s">
        <v>25</v>
      </c>
      <c r="U127">
        <v>0</v>
      </c>
      <c r="W127">
        <f t="shared" si="29"/>
        <v>0</v>
      </c>
      <c r="Y127">
        <v>0</v>
      </c>
      <c r="AA127">
        <f t="shared" si="30"/>
        <v>0</v>
      </c>
    </row>
    <row r="128" spans="2:27" x14ac:dyDescent="0.25">
      <c r="B128" t="s">
        <v>16</v>
      </c>
      <c r="D128">
        <v>1E-3</v>
      </c>
      <c r="F128">
        <f t="shared" si="27"/>
        <v>5.0000000000000001E-4</v>
      </c>
      <c r="H128">
        <v>2E-3</v>
      </c>
      <c r="J128">
        <f t="shared" si="28"/>
        <v>1E-3</v>
      </c>
      <c r="S128" t="s">
        <v>16</v>
      </c>
      <c r="U128">
        <v>1E-3</v>
      </c>
      <c r="W128">
        <f t="shared" si="29"/>
        <v>5.0000000000000001E-4</v>
      </c>
      <c r="Y128">
        <v>0</v>
      </c>
      <c r="AA128">
        <f t="shared" si="30"/>
        <v>0</v>
      </c>
    </row>
    <row r="129" spans="2:29" x14ac:dyDescent="0.25">
      <c r="B129" t="s">
        <v>38</v>
      </c>
      <c r="D129">
        <v>0.7</v>
      </c>
      <c r="F129">
        <f t="shared" si="27"/>
        <v>0.35</v>
      </c>
      <c r="H129">
        <v>2.1</v>
      </c>
      <c r="J129">
        <f t="shared" si="28"/>
        <v>1.05</v>
      </c>
      <c r="S129" t="s">
        <v>38</v>
      </c>
      <c r="U129">
        <v>0.5</v>
      </c>
      <c r="W129">
        <f t="shared" si="29"/>
        <v>0.25</v>
      </c>
      <c r="Y129">
        <v>3.4</v>
      </c>
      <c r="AA129">
        <f t="shared" si="30"/>
        <v>1.7</v>
      </c>
    </row>
    <row r="130" spans="2:29" x14ac:dyDescent="0.25">
      <c r="B130" t="s">
        <v>21</v>
      </c>
      <c r="D130">
        <v>100</v>
      </c>
      <c r="F130">
        <f t="shared" si="27"/>
        <v>50</v>
      </c>
      <c r="H130">
        <v>97</v>
      </c>
      <c r="J130">
        <f t="shared" si="28"/>
        <v>48.5</v>
      </c>
      <c r="S130" t="s">
        <v>21</v>
      </c>
      <c r="U130">
        <v>100</v>
      </c>
      <c r="W130">
        <f t="shared" si="29"/>
        <v>50</v>
      </c>
      <c r="Y130">
        <v>82</v>
      </c>
      <c r="AA130">
        <f t="shared" si="30"/>
        <v>41</v>
      </c>
    </row>
    <row r="131" spans="2:29" x14ac:dyDescent="0.25">
      <c r="D131" t="s">
        <v>59</v>
      </c>
      <c r="H131" t="s">
        <v>57</v>
      </c>
      <c r="L131" s="1" t="s">
        <v>53</v>
      </c>
      <c r="U131" t="s">
        <v>52</v>
      </c>
      <c r="Y131" t="s">
        <v>61</v>
      </c>
      <c r="AC131" s="1" t="s">
        <v>53</v>
      </c>
    </row>
    <row r="132" spans="2:29" x14ac:dyDescent="0.25">
      <c r="B132" t="s">
        <v>22</v>
      </c>
      <c r="D132">
        <v>78</v>
      </c>
      <c r="F132">
        <f>SUM(D132:E132)/2</f>
        <v>39</v>
      </c>
      <c r="H132">
        <v>75</v>
      </c>
      <c r="J132">
        <f>SUM(H132:I132)/2</f>
        <v>37.5</v>
      </c>
      <c r="S132" t="s">
        <v>22</v>
      </c>
      <c r="U132">
        <v>92</v>
      </c>
      <c r="W132">
        <f>SUM(U132:V132)/2</f>
        <v>46</v>
      </c>
      <c r="Y132">
        <v>89</v>
      </c>
      <c r="AA132">
        <f>SUM(Y132:Z132)/2</f>
        <v>44.5</v>
      </c>
    </row>
    <row r="133" spans="2:29" x14ac:dyDescent="0.25">
      <c r="D133" t="s">
        <v>61</v>
      </c>
      <c r="H133" t="s">
        <v>49</v>
      </c>
      <c r="U133" t="s">
        <v>36</v>
      </c>
      <c r="Y133" t="s">
        <v>36</v>
      </c>
    </row>
    <row r="134" spans="2:29" x14ac:dyDescent="0.25">
      <c r="B134" t="s">
        <v>23</v>
      </c>
      <c r="D134">
        <v>100</v>
      </c>
      <c r="F134">
        <f>SUM(D134:E134)/2</f>
        <v>50</v>
      </c>
      <c r="H134">
        <v>100</v>
      </c>
      <c r="J134">
        <f>SUM(H134:I134)/2</f>
        <v>50</v>
      </c>
      <c r="S134" t="s">
        <v>23</v>
      </c>
      <c r="U134">
        <v>100</v>
      </c>
      <c r="W134">
        <f>SUM(U134:V134)/2</f>
        <v>50</v>
      </c>
      <c r="Y134">
        <v>100</v>
      </c>
      <c r="AA134">
        <f>SUM(Y134:Z134)/2</f>
        <v>50</v>
      </c>
    </row>
    <row r="136" spans="2:29" x14ac:dyDescent="0.25">
      <c r="B136" t="s">
        <v>24</v>
      </c>
      <c r="D136">
        <v>83</v>
      </c>
      <c r="F136">
        <f>SUM(D136:E136)/2</f>
        <v>41.5</v>
      </c>
      <c r="H136">
        <v>82</v>
      </c>
      <c r="J136">
        <f>SUM(H136:I136)/2</f>
        <v>41</v>
      </c>
      <c r="S136" t="s">
        <v>24</v>
      </c>
      <c r="U136">
        <v>83</v>
      </c>
      <c r="W136">
        <f>SUM(U136:V136)/2</f>
        <v>41.5</v>
      </c>
      <c r="Y136">
        <v>82</v>
      </c>
      <c r="AA136">
        <f>SUM(Y136:Z136)/2</f>
        <v>41</v>
      </c>
    </row>
    <row r="137" spans="2:29" x14ac:dyDescent="0.25">
      <c r="D137" t="s">
        <v>36</v>
      </c>
      <c r="H137" t="s">
        <v>36</v>
      </c>
      <c r="U137" t="s">
        <v>36</v>
      </c>
      <c r="Y137" t="s">
        <v>36</v>
      </c>
    </row>
    <row r="140" spans="2:29" x14ac:dyDescent="0.25">
      <c r="D140" t="s">
        <v>11</v>
      </c>
      <c r="H140" t="s">
        <v>13</v>
      </c>
      <c r="U140" t="s">
        <v>11</v>
      </c>
      <c r="Y140" t="s">
        <v>13</v>
      </c>
    </row>
    <row r="141" spans="2:29" x14ac:dyDescent="0.25">
      <c r="C141" t="s">
        <v>42</v>
      </c>
      <c r="D141">
        <v>1</v>
      </c>
      <c r="E141">
        <v>2</v>
      </c>
      <c r="F141" t="s">
        <v>12</v>
      </c>
      <c r="H141">
        <v>1</v>
      </c>
      <c r="I141">
        <v>2</v>
      </c>
      <c r="J141" t="s">
        <v>12</v>
      </c>
      <c r="T141" t="s">
        <v>42</v>
      </c>
      <c r="U141">
        <v>1</v>
      </c>
      <c r="V141">
        <v>2</v>
      </c>
      <c r="W141" t="s">
        <v>12</v>
      </c>
      <c r="Y141">
        <v>1</v>
      </c>
      <c r="Z141">
        <v>2</v>
      </c>
      <c r="AA141" t="s">
        <v>12</v>
      </c>
    </row>
    <row r="142" spans="2:29" x14ac:dyDescent="0.25">
      <c r="B142" t="s">
        <v>17</v>
      </c>
      <c r="D142">
        <v>0.5</v>
      </c>
      <c r="F142">
        <f t="shared" ref="F142:F147" si="31">SUM(D142:E142)/2</f>
        <v>0.25</v>
      </c>
      <c r="H142">
        <v>2.6</v>
      </c>
      <c r="J142">
        <f t="shared" ref="J142:J147" si="32">SUM(H142:I142)/2</f>
        <v>1.3</v>
      </c>
      <c r="S142" t="s">
        <v>17</v>
      </c>
      <c r="U142">
        <v>0.8</v>
      </c>
      <c r="W142">
        <f t="shared" ref="W142:W147" si="33">SUM(U142:V142)/2</f>
        <v>0.4</v>
      </c>
      <c r="Y142">
        <v>2.4</v>
      </c>
      <c r="AA142">
        <f t="shared" ref="AA142:AA147" si="34">SUM(Y142:Z142)/2</f>
        <v>1.2</v>
      </c>
    </row>
    <row r="143" spans="2:29" x14ac:dyDescent="0.25">
      <c r="B143" t="s">
        <v>15</v>
      </c>
      <c r="D143">
        <v>0.5</v>
      </c>
      <c r="F143">
        <f t="shared" si="31"/>
        <v>0.25</v>
      </c>
      <c r="H143">
        <v>2.6</v>
      </c>
      <c r="J143">
        <f t="shared" si="32"/>
        <v>1.3</v>
      </c>
      <c r="S143" t="s">
        <v>15</v>
      </c>
      <c r="U143">
        <v>0.8</v>
      </c>
      <c r="W143">
        <f t="shared" si="33"/>
        <v>0.4</v>
      </c>
      <c r="Y143">
        <v>2.5</v>
      </c>
      <c r="AA143">
        <f t="shared" si="34"/>
        <v>1.25</v>
      </c>
    </row>
    <row r="144" spans="2:29" x14ac:dyDescent="0.25">
      <c r="B144" t="s">
        <v>25</v>
      </c>
      <c r="D144">
        <v>0</v>
      </c>
      <c r="F144">
        <f t="shared" si="31"/>
        <v>0</v>
      </c>
      <c r="H144">
        <v>0</v>
      </c>
      <c r="J144">
        <f t="shared" si="32"/>
        <v>0</v>
      </c>
      <c r="S144" t="s">
        <v>25</v>
      </c>
      <c r="U144">
        <v>0</v>
      </c>
      <c r="W144">
        <f t="shared" si="33"/>
        <v>0</v>
      </c>
      <c r="Y144">
        <v>0</v>
      </c>
      <c r="AA144">
        <f t="shared" si="34"/>
        <v>0</v>
      </c>
    </row>
    <row r="145" spans="2:29" x14ac:dyDescent="0.25">
      <c r="B145" t="s">
        <v>16</v>
      </c>
      <c r="D145">
        <v>1E-3</v>
      </c>
      <c r="F145">
        <f t="shared" si="31"/>
        <v>5.0000000000000001E-4</v>
      </c>
      <c r="H145">
        <v>4.0000000000000001E-3</v>
      </c>
      <c r="J145">
        <f t="shared" si="32"/>
        <v>2E-3</v>
      </c>
      <c r="S145" t="s">
        <v>16</v>
      </c>
      <c r="U145">
        <v>2E-3</v>
      </c>
      <c r="W145">
        <f t="shared" si="33"/>
        <v>1E-3</v>
      </c>
      <c r="Y145">
        <v>4.0000000000000001E-3</v>
      </c>
      <c r="AA145">
        <f t="shared" si="34"/>
        <v>2E-3</v>
      </c>
    </row>
    <row r="146" spans="2:29" x14ac:dyDescent="0.25">
      <c r="B146" t="s">
        <v>38</v>
      </c>
      <c r="D146">
        <v>0.5</v>
      </c>
      <c r="F146">
        <f t="shared" si="31"/>
        <v>0.25</v>
      </c>
      <c r="H146">
        <v>2.6</v>
      </c>
      <c r="J146">
        <f t="shared" si="32"/>
        <v>1.3</v>
      </c>
      <c r="S146" t="s">
        <v>38</v>
      </c>
      <c r="U146">
        <v>0.8</v>
      </c>
      <c r="W146">
        <f t="shared" si="33"/>
        <v>0.4</v>
      </c>
      <c r="Y146">
        <v>2.4</v>
      </c>
      <c r="AA146">
        <f t="shared" si="34"/>
        <v>1.2</v>
      </c>
    </row>
    <row r="147" spans="2:29" x14ac:dyDescent="0.25">
      <c r="B147" t="s">
        <v>21</v>
      </c>
      <c r="D147">
        <v>100</v>
      </c>
      <c r="F147">
        <f t="shared" si="31"/>
        <v>50</v>
      </c>
      <c r="H147">
        <v>93</v>
      </c>
      <c r="J147">
        <f t="shared" si="32"/>
        <v>46.5</v>
      </c>
      <c r="S147" t="s">
        <v>21</v>
      </c>
      <c r="U147">
        <v>99</v>
      </c>
      <c r="W147">
        <f t="shared" si="33"/>
        <v>49.5</v>
      </c>
      <c r="Y147">
        <v>95</v>
      </c>
      <c r="AA147">
        <f t="shared" si="34"/>
        <v>47.5</v>
      </c>
    </row>
    <row r="148" spans="2:29" x14ac:dyDescent="0.25">
      <c r="D148" t="s">
        <v>59</v>
      </c>
      <c r="H148" t="s">
        <v>52</v>
      </c>
      <c r="L148" s="1" t="s">
        <v>53</v>
      </c>
      <c r="U148" t="s">
        <v>52</v>
      </c>
      <c r="Y148" t="s">
        <v>49</v>
      </c>
      <c r="AC148" s="1" t="s">
        <v>53</v>
      </c>
    </row>
    <row r="149" spans="2:29" x14ac:dyDescent="0.25">
      <c r="B149" t="s">
        <v>22</v>
      </c>
      <c r="D149">
        <v>78</v>
      </c>
      <c r="F149">
        <f>SUM(D149:E149)/2</f>
        <v>39</v>
      </c>
      <c r="H149">
        <v>83</v>
      </c>
      <c r="J149">
        <f>SUM(H149:I149)/2</f>
        <v>41.5</v>
      </c>
      <c r="S149" t="s">
        <v>22</v>
      </c>
      <c r="U149">
        <v>92</v>
      </c>
      <c r="W149">
        <f>SUM(U149:V149)/2</f>
        <v>46</v>
      </c>
      <c r="Y149">
        <v>89</v>
      </c>
      <c r="AA149">
        <f>SUM(Y149:Z149)/2</f>
        <v>44.5</v>
      </c>
    </row>
    <row r="150" spans="2:29" x14ac:dyDescent="0.25">
      <c r="D150" t="s">
        <v>61</v>
      </c>
      <c r="H150" t="s">
        <v>49</v>
      </c>
      <c r="U150" t="s">
        <v>36</v>
      </c>
      <c r="Y150" t="s">
        <v>36</v>
      </c>
    </row>
    <row r="151" spans="2:29" x14ac:dyDescent="0.25">
      <c r="B151" t="s">
        <v>23</v>
      </c>
      <c r="D151">
        <v>100</v>
      </c>
      <c r="F151">
        <f>SUM(D151:E151)/2</f>
        <v>50</v>
      </c>
      <c r="H151">
        <v>100</v>
      </c>
      <c r="J151">
        <f>SUM(H151:I151)/2</f>
        <v>50</v>
      </c>
      <c r="S151" t="s">
        <v>23</v>
      </c>
      <c r="U151">
        <v>100</v>
      </c>
      <c r="W151">
        <f>SUM(U151:V151)/2</f>
        <v>50</v>
      </c>
      <c r="Y151">
        <v>100</v>
      </c>
      <c r="AA151">
        <f>SUM(Y151:Z151)/2</f>
        <v>50</v>
      </c>
    </row>
    <row r="153" spans="2:29" x14ac:dyDescent="0.25">
      <c r="B153" t="s">
        <v>24</v>
      </c>
      <c r="D153">
        <v>83</v>
      </c>
      <c r="F153">
        <f>SUM(D153:E153)/2</f>
        <v>41.5</v>
      </c>
      <c r="H153">
        <v>82</v>
      </c>
      <c r="J153">
        <f>SUM(H153:I153)/2</f>
        <v>41</v>
      </c>
      <c r="S153" t="s">
        <v>24</v>
      </c>
      <c r="U153">
        <v>83</v>
      </c>
      <c r="W153">
        <f>SUM(U153:V153)/2</f>
        <v>41.5</v>
      </c>
      <c r="Y153">
        <v>82</v>
      </c>
      <c r="AA153">
        <f>SUM(Y153:Z153)/2</f>
        <v>41</v>
      </c>
    </row>
    <row r="154" spans="2:29" x14ac:dyDescent="0.25">
      <c r="D154" t="s">
        <v>36</v>
      </c>
      <c r="H154" t="s">
        <v>36</v>
      </c>
      <c r="U154" t="s">
        <v>36</v>
      </c>
      <c r="Y154" t="s">
        <v>36</v>
      </c>
    </row>
    <row r="158" spans="2:29" x14ac:dyDescent="0.25">
      <c r="D158" t="s">
        <v>69</v>
      </c>
      <c r="I158" t="s">
        <v>67</v>
      </c>
    </row>
    <row r="159" spans="2:29" x14ac:dyDescent="0.25">
      <c r="C159" t="s">
        <v>11</v>
      </c>
      <c r="D159">
        <v>1</v>
      </c>
      <c r="E159">
        <v>2</v>
      </c>
      <c r="F159">
        <v>3</v>
      </c>
      <c r="G159" t="s">
        <v>12</v>
      </c>
      <c r="I159">
        <v>1</v>
      </c>
      <c r="J159">
        <v>2</v>
      </c>
      <c r="K159">
        <v>3</v>
      </c>
      <c r="L159" t="s">
        <v>12</v>
      </c>
    </row>
    <row r="160" spans="2:29" x14ac:dyDescent="0.25">
      <c r="B160" t="s">
        <v>31</v>
      </c>
      <c r="D160">
        <v>24</v>
      </c>
      <c r="E160">
        <v>16</v>
      </c>
      <c r="F160">
        <v>24</v>
      </c>
      <c r="G160">
        <f>AVERAGEA(D160:F160)</f>
        <v>21.333333333333332</v>
      </c>
      <c r="I160">
        <v>24</v>
      </c>
      <c r="J160">
        <v>24</v>
      </c>
      <c r="K160">
        <v>32</v>
      </c>
      <c r="L160">
        <f>AVERAGEA(I160:K160)</f>
        <v>26.666666666666668</v>
      </c>
    </row>
    <row r="161" spans="2:12" x14ac:dyDescent="0.25">
      <c r="B161" t="s">
        <v>72</v>
      </c>
      <c r="D161">
        <v>32</v>
      </c>
      <c r="E161">
        <v>48</v>
      </c>
      <c r="F161">
        <v>40</v>
      </c>
      <c r="G161">
        <f>AVERAGEA(D161:F161)</f>
        <v>40</v>
      </c>
      <c r="I161">
        <v>48</v>
      </c>
      <c r="J161">
        <v>32</v>
      </c>
      <c r="K161">
        <v>54</v>
      </c>
      <c r="L161">
        <f>AVERAGEA(I161:K161)</f>
        <v>44.666666666666664</v>
      </c>
    </row>
    <row r="162" spans="2:12" x14ac:dyDescent="0.25">
      <c r="B162" t="s">
        <v>73</v>
      </c>
      <c r="D162">
        <v>312</v>
      </c>
      <c r="E162">
        <v>312</v>
      </c>
      <c r="F162">
        <v>312</v>
      </c>
      <c r="G162">
        <f>AVERAGEA(D162:F162)</f>
        <v>312</v>
      </c>
      <c r="I162">
        <v>336</v>
      </c>
      <c r="J162">
        <v>336</v>
      </c>
      <c r="K162">
        <v>320</v>
      </c>
      <c r="L162">
        <f>AVERAGEA(I162:K162)</f>
        <v>330.66666666666669</v>
      </c>
    </row>
    <row r="163" spans="2:12" x14ac:dyDescent="0.25">
      <c r="B163" t="s">
        <v>74</v>
      </c>
      <c r="D163">
        <v>220</v>
      </c>
      <c r="E163">
        <v>248</v>
      </c>
      <c r="F163">
        <v>224</v>
      </c>
      <c r="G163">
        <f>AVERAGEA(D163:F163)</f>
        <v>230.66666666666666</v>
      </c>
      <c r="I163">
        <v>248</v>
      </c>
      <c r="J163">
        <v>232</v>
      </c>
      <c r="K163">
        <v>224</v>
      </c>
      <c r="L163">
        <f>AVERAGEA(I163:K163)</f>
        <v>234.66666666666666</v>
      </c>
    </row>
    <row r="166" spans="2:12" x14ac:dyDescent="0.25">
      <c r="C166" t="s">
        <v>13</v>
      </c>
      <c r="D166">
        <v>1</v>
      </c>
      <c r="E166">
        <v>2</v>
      </c>
      <c r="F166">
        <v>3</v>
      </c>
      <c r="G166" t="s">
        <v>12</v>
      </c>
      <c r="I166">
        <v>1</v>
      </c>
      <c r="J166">
        <v>2</v>
      </c>
      <c r="K166">
        <v>3</v>
      </c>
      <c r="L166" t="s">
        <v>12</v>
      </c>
    </row>
    <row r="167" spans="2:12" x14ac:dyDescent="0.25">
      <c r="B167" t="s">
        <v>31</v>
      </c>
      <c r="D167">
        <v>24</v>
      </c>
      <c r="E167">
        <v>24</v>
      </c>
      <c r="F167">
        <v>24</v>
      </c>
      <c r="G167">
        <f>AVERAGEA(D167:F167)</f>
        <v>24</v>
      </c>
      <c r="I167">
        <v>32</v>
      </c>
      <c r="J167">
        <v>40</v>
      </c>
      <c r="K167">
        <v>32</v>
      </c>
      <c r="L167">
        <f>AVERAGEA(I167:K167)</f>
        <v>34.666666666666664</v>
      </c>
    </row>
    <row r="168" spans="2:12" x14ac:dyDescent="0.25">
      <c r="B168" t="s">
        <v>72</v>
      </c>
      <c r="D168">
        <v>32</v>
      </c>
      <c r="E168">
        <v>32</v>
      </c>
      <c r="F168">
        <v>32</v>
      </c>
      <c r="G168">
        <f>AVERAGEA(D168:F168)</f>
        <v>32</v>
      </c>
      <c r="I168">
        <v>40</v>
      </c>
      <c r="J168">
        <v>40</v>
      </c>
      <c r="K168">
        <v>32</v>
      </c>
      <c r="L168">
        <f>AVERAGEA(I168:K168)</f>
        <v>37.333333333333336</v>
      </c>
    </row>
    <row r="169" spans="2:12" x14ac:dyDescent="0.25">
      <c r="B169" t="s">
        <v>73</v>
      </c>
      <c r="D169">
        <v>344</v>
      </c>
      <c r="E169">
        <v>256</v>
      </c>
      <c r="F169">
        <v>240</v>
      </c>
      <c r="G169">
        <f>AVERAGEA(D169:F169)</f>
        <v>280</v>
      </c>
      <c r="I169">
        <v>352</v>
      </c>
      <c r="J169">
        <v>368</v>
      </c>
      <c r="K169">
        <v>344</v>
      </c>
      <c r="L169">
        <f>AVERAGEA(I169:K169)</f>
        <v>354.66666666666669</v>
      </c>
    </row>
    <row r="170" spans="2:12" x14ac:dyDescent="0.25">
      <c r="B170" t="s">
        <v>74</v>
      </c>
      <c r="D170">
        <v>216</v>
      </c>
      <c r="E170">
        <v>240</v>
      </c>
      <c r="F170">
        <v>216</v>
      </c>
      <c r="G170">
        <f>AVERAGEA(D170:F170)</f>
        <v>224</v>
      </c>
      <c r="I170">
        <v>240</v>
      </c>
      <c r="J170">
        <v>304</v>
      </c>
      <c r="K170">
        <v>232</v>
      </c>
      <c r="L170">
        <f>AVERAGEA(I170:K170)</f>
        <v>258.66666666666669</v>
      </c>
    </row>
    <row r="171" spans="2:12" x14ac:dyDescent="0.25">
      <c r="B171" t="s">
        <v>75</v>
      </c>
      <c r="D171">
        <v>136</v>
      </c>
      <c r="E171">
        <v>128</v>
      </c>
      <c r="F171">
        <v>136</v>
      </c>
      <c r="G171">
        <f>AVERAGEA(D171:F171)</f>
        <v>133.33333333333334</v>
      </c>
      <c r="I171">
        <v>144</v>
      </c>
      <c r="J171">
        <v>136</v>
      </c>
      <c r="K171">
        <v>136</v>
      </c>
      <c r="L171">
        <f>AVERAGEA(I171:K171)</f>
        <v>138.66666666666666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lighthouse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Moździerz</dc:creator>
  <cp:lastModifiedBy>Szymon Moździerz</cp:lastModifiedBy>
  <dcterms:created xsi:type="dcterms:W3CDTF">2025-08-28T13:26:52Z</dcterms:created>
  <dcterms:modified xsi:type="dcterms:W3CDTF">2025-09-13T14:43:21Z</dcterms:modified>
</cp:coreProperties>
</file>
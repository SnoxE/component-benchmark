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a\Stopien 2\Semestr 3\thesis\component-benchmark\"/>
    </mc:Choice>
  </mc:AlternateContent>
  <xr:revisionPtr revIDLastSave="0" documentId="13_ncr:1_{5390808B-8AB9-4F51-B6DB-42AB37B7ED32}" xr6:coauthVersionLast="47" xr6:coauthVersionMax="47" xr10:uidLastSave="{00000000-0000-0000-0000-000000000000}"/>
  <bookViews>
    <workbookView xWindow="-120" yWindow="-120" windowWidth="50895" windowHeight="21840" xr2:uid="{19F00508-655E-43CB-85B5-FF1651D8BEC7}"/>
  </bookViews>
  <sheets>
    <sheet name="Arkusz1" sheetId="1" r:id="rId1"/>
    <sheet name="lighthous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8" i="1" l="1"/>
  <c r="L47" i="1"/>
  <c r="AA34" i="1"/>
  <c r="V34" i="1"/>
  <c r="AA33" i="1"/>
  <c r="V33" i="1"/>
  <c r="AA32" i="1"/>
  <c r="V32" i="1"/>
  <c r="F23" i="2"/>
  <c r="J153" i="2"/>
  <c r="F153" i="2"/>
  <c r="J151" i="2"/>
  <c r="F151" i="2"/>
  <c r="J149" i="2"/>
  <c r="F149" i="2"/>
  <c r="J147" i="2"/>
  <c r="F147" i="2"/>
  <c r="J146" i="2"/>
  <c r="F146" i="2"/>
  <c r="J145" i="2"/>
  <c r="F145" i="2"/>
  <c r="J144" i="2"/>
  <c r="F144" i="2"/>
  <c r="J143" i="2"/>
  <c r="F143" i="2"/>
  <c r="J142" i="2"/>
  <c r="F142" i="2"/>
  <c r="J136" i="2"/>
  <c r="F136" i="2"/>
  <c r="J134" i="2"/>
  <c r="F134" i="2"/>
  <c r="J132" i="2"/>
  <c r="F132" i="2"/>
  <c r="J130" i="2"/>
  <c r="F130" i="2"/>
  <c r="J129" i="2"/>
  <c r="F129" i="2"/>
  <c r="J128" i="2"/>
  <c r="F128" i="2"/>
  <c r="J127" i="2"/>
  <c r="F127" i="2"/>
  <c r="J126" i="2"/>
  <c r="F126" i="2"/>
  <c r="J125" i="2"/>
  <c r="F125" i="2"/>
  <c r="J80" i="2"/>
  <c r="J112" i="2"/>
  <c r="J96" i="2"/>
  <c r="J64" i="2"/>
  <c r="J48" i="2"/>
  <c r="J32" i="2"/>
  <c r="J119" i="2"/>
  <c r="F119" i="2"/>
  <c r="J117" i="2"/>
  <c r="F117" i="2"/>
  <c r="J115" i="2"/>
  <c r="F115" i="2"/>
  <c r="J113" i="2"/>
  <c r="F113" i="2"/>
  <c r="F112" i="2"/>
  <c r="J111" i="2"/>
  <c r="F111" i="2"/>
  <c r="J110" i="2"/>
  <c r="F110" i="2"/>
  <c r="J109" i="2"/>
  <c r="F109" i="2"/>
  <c r="J108" i="2"/>
  <c r="F108" i="2"/>
  <c r="J103" i="2"/>
  <c r="F103" i="2"/>
  <c r="J101" i="2"/>
  <c r="F101" i="2"/>
  <c r="J99" i="2"/>
  <c r="F99" i="2"/>
  <c r="J97" i="2"/>
  <c r="F97" i="2"/>
  <c r="F96" i="2"/>
  <c r="J95" i="2"/>
  <c r="F95" i="2"/>
  <c r="J94" i="2"/>
  <c r="F94" i="2"/>
  <c r="J93" i="2"/>
  <c r="F93" i="2"/>
  <c r="J92" i="2"/>
  <c r="F92" i="2"/>
  <c r="J87" i="2"/>
  <c r="F87" i="2"/>
  <c r="J85" i="2"/>
  <c r="F85" i="2"/>
  <c r="J83" i="2"/>
  <c r="F83" i="2"/>
  <c r="J81" i="2"/>
  <c r="F81" i="2"/>
  <c r="F80" i="2"/>
  <c r="J79" i="2"/>
  <c r="F79" i="2"/>
  <c r="J78" i="2"/>
  <c r="F78" i="2"/>
  <c r="J77" i="2"/>
  <c r="F77" i="2"/>
  <c r="J76" i="2"/>
  <c r="F76" i="2"/>
  <c r="J71" i="2"/>
  <c r="F71" i="2"/>
  <c r="J69" i="2"/>
  <c r="F69" i="2"/>
  <c r="J67" i="2"/>
  <c r="F67" i="2"/>
  <c r="J65" i="2"/>
  <c r="F65" i="2"/>
  <c r="F64" i="2"/>
  <c r="J63" i="2"/>
  <c r="F63" i="2"/>
  <c r="J62" i="2"/>
  <c r="F62" i="2"/>
  <c r="J61" i="2"/>
  <c r="F61" i="2"/>
  <c r="J60" i="2"/>
  <c r="F60" i="2"/>
  <c r="J55" i="2"/>
  <c r="F55" i="2"/>
  <c r="J53" i="2"/>
  <c r="F53" i="2"/>
  <c r="J51" i="2"/>
  <c r="F51" i="2"/>
  <c r="J49" i="2"/>
  <c r="F49" i="2"/>
  <c r="F48" i="2"/>
  <c r="J47" i="2"/>
  <c r="F47" i="2"/>
  <c r="J46" i="2"/>
  <c r="F46" i="2"/>
  <c r="J45" i="2"/>
  <c r="F45" i="2"/>
  <c r="J44" i="2"/>
  <c r="F44" i="2"/>
  <c r="J39" i="2"/>
  <c r="F39" i="2"/>
  <c r="J37" i="2"/>
  <c r="F37" i="2"/>
  <c r="J35" i="2"/>
  <c r="F35" i="2"/>
  <c r="J33" i="2"/>
  <c r="F33" i="2"/>
  <c r="F32" i="2"/>
  <c r="J31" i="2"/>
  <c r="F31" i="2"/>
  <c r="J30" i="2"/>
  <c r="F30" i="2"/>
  <c r="J29" i="2"/>
  <c r="F29" i="2"/>
  <c r="J28" i="2"/>
  <c r="F28" i="2"/>
  <c r="J23" i="2"/>
  <c r="J21" i="2"/>
  <c r="J19" i="2"/>
  <c r="J17" i="2"/>
  <c r="J15" i="2"/>
  <c r="J14" i="2"/>
  <c r="J13" i="2"/>
  <c r="J12" i="2"/>
  <c r="F12" i="2"/>
  <c r="F13" i="2"/>
  <c r="F14" i="2"/>
  <c r="F15" i="2"/>
  <c r="F16" i="2"/>
  <c r="F21" i="2"/>
  <c r="F19" i="2"/>
  <c r="F17" i="2"/>
  <c r="L141" i="1"/>
  <c r="G141" i="1"/>
  <c r="L140" i="1"/>
  <c r="G140" i="1"/>
  <c r="L139" i="1"/>
  <c r="G139" i="1"/>
  <c r="L134" i="1"/>
  <c r="G134" i="1"/>
  <c r="L133" i="1"/>
  <c r="G133" i="1"/>
  <c r="L132" i="1"/>
  <c r="G132" i="1"/>
  <c r="L70" i="1"/>
  <c r="G70" i="1"/>
  <c r="L69" i="1"/>
  <c r="G69" i="1"/>
  <c r="L68" i="1"/>
  <c r="G68" i="1"/>
  <c r="L63" i="1"/>
  <c r="G63" i="1"/>
  <c r="L62" i="1"/>
  <c r="G62" i="1"/>
  <c r="L61" i="1"/>
  <c r="G61" i="1"/>
  <c r="L127" i="1"/>
  <c r="G127" i="1"/>
  <c r="L126" i="1"/>
  <c r="G126" i="1"/>
  <c r="L125" i="1"/>
  <c r="G125" i="1"/>
  <c r="L120" i="1"/>
  <c r="G120" i="1"/>
  <c r="L119" i="1"/>
  <c r="G119" i="1"/>
  <c r="L118" i="1"/>
  <c r="L113" i="1"/>
  <c r="G113" i="1"/>
  <c r="L112" i="1"/>
  <c r="G112" i="1"/>
  <c r="L111" i="1"/>
  <c r="G111" i="1"/>
  <c r="L106" i="1"/>
  <c r="G106" i="1"/>
  <c r="L105" i="1"/>
  <c r="G105" i="1"/>
  <c r="L104" i="1"/>
  <c r="G104" i="1"/>
  <c r="L99" i="1"/>
  <c r="G99" i="1"/>
  <c r="L98" i="1"/>
  <c r="G98" i="1"/>
  <c r="L97" i="1"/>
  <c r="G97" i="1"/>
  <c r="L92" i="1"/>
  <c r="G92" i="1"/>
  <c r="L91" i="1"/>
  <c r="G91" i="1"/>
  <c r="L90" i="1"/>
  <c r="G90" i="1"/>
  <c r="L85" i="1"/>
  <c r="G85" i="1"/>
  <c r="L84" i="1"/>
  <c r="G84" i="1"/>
  <c r="L83" i="1"/>
  <c r="G83" i="1"/>
  <c r="L56" i="1"/>
  <c r="G56" i="1"/>
  <c r="L55" i="1"/>
  <c r="G55" i="1"/>
  <c r="L54" i="1"/>
  <c r="G54" i="1"/>
  <c r="L49" i="1"/>
  <c r="G49" i="1"/>
  <c r="L48" i="1"/>
  <c r="G48" i="1"/>
  <c r="G47" i="1"/>
  <c r="L42" i="1"/>
  <c r="G42" i="1"/>
  <c r="L41" i="1"/>
  <c r="G41" i="1"/>
  <c r="L40" i="1"/>
  <c r="G40" i="1"/>
  <c r="L35" i="1"/>
  <c r="G35" i="1"/>
  <c r="L34" i="1"/>
  <c r="G34" i="1"/>
  <c r="L33" i="1"/>
  <c r="G33" i="1"/>
  <c r="L28" i="1"/>
  <c r="G28" i="1"/>
  <c r="L27" i="1"/>
  <c r="G27" i="1"/>
  <c r="L26" i="1"/>
  <c r="G26" i="1"/>
  <c r="L21" i="1"/>
  <c r="G21" i="1"/>
  <c r="L20" i="1"/>
  <c r="G20" i="1"/>
  <c r="L19" i="1"/>
  <c r="G19" i="1"/>
  <c r="L12" i="1"/>
  <c r="L13" i="1"/>
  <c r="L14" i="1"/>
  <c r="G13" i="1"/>
  <c r="G14" i="1"/>
  <c r="G12" i="1"/>
</calcChain>
</file>

<file path=xl/sharedStrings.xml><?xml version="1.0" encoding="utf-8"?>
<sst xmlns="http://schemas.openxmlformats.org/spreadsheetml/2006/main" count="401" uniqueCount="63">
  <si>
    <t>chrome dev tools</t>
  </si>
  <si>
    <t>page load speed</t>
  </si>
  <si>
    <t>tool</t>
  </si>
  <si>
    <t>settings</t>
  </si>
  <si>
    <t>network</t>
  </si>
  <si>
    <t>cpu</t>
  </si>
  <si>
    <t>4x slowdown</t>
  </si>
  <si>
    <t>slow 4g</t>
  </si>
  <si>
    <t xml:space="preserve">screenshots </t>
  </si>
  <si>
    <t>on</t>
  </si>
  <si>
    <t>landing page</t>
  </si>
  <si>
    <t>desktop</t>
  </si>
  <si>
    <t>avg</t>
  </si>
  <si>
    <t>mobile</t>
  </si>
  <si>
    <t>lighthouse</t>
  </si>
  <si>
    <t>lcp</t>
  </si>
  <si>
    <t>cls</t>
  </si>
  <si>
    <t>fcp</t>
  </si>
  <si>
    <t>inp</t>
  </si>
  <si>
    <t>ttfb?</t>
  </si>
  <si>
    <t>warning count</t>
  </si>
  <si>
    <t>performance</t>
  </si>
  <si>
    <t>accessibility</t>
  </si>
  <si>
    <t>best practices</t>
  </si>
  <si>
    <t>seo</t>
  </si>
  <si>
    <t>tbt</t>
  </si>
  <si>
    <t>speed index - visual progression</t>
  </si>
  <si>
    <t>compare number of warnings</t>
  </si>
  <si>
    <t>oferta</t>
  </si>
  <si>
    <t>reserve form</t>
  </si>
  <si>
    <t>reservations page</t>
  </si>
  <si>
    <t>login</t>
  </si>
  <si>
    <t>register</t>
  </si>
  <si>
    <t>1700px</t>
  </si>
  <si>
    <t>440px</t>
  </si>
  <si>
    <t>Network throttling: 40 ms TCP RTT, 10,240 kb/s throughput (Simulated</t>
  </si>
  <si>
    <t>2e</t>
  </si>
  <si>
    <t>1e 4w</t>
  </si>
  <si>
    <t>si</t>
  </si>
  <si>
    <t>fast 4g</t>
  </si>
  <si>
    <t>reservation page</t>
  </si>
  <si>
    <t>cars page</t>
  </si>
  <si>
    <t>contact</t>
  </si>
  <si>
    <t>add car</t>
  </si>
  <si>
    <t>800px</t>
  </si>
  <si>
    <t>1352px</t>
  </si>
  <si>
    <t>ms</t>
  </si>
  <si>
    <t>s</t>
  </si>
  <si>
    <t>4e 2w</t>
  </si>
  <si>
    <t>3e</t>
  </si>
  <si>
    <t>3e 2w</t>
  </si>
  <si>
    <t>4e</t>
  </si>
  <si>
    <t>2e 1w</t>
  </si>
  <si>
    <t>Network throttling: 150 ms TCP RTT, 1,638.4 kb/s throughput (Simulated)</t>
  </si>
  <si>
    <t>m</t>
  </si>
  <si>
    <t>d</t>
  </si>
  <si>
    <t>3e 1w</t>
  </si>
  <si>
    <t>1e 1w</t>
  </si>
  <si>
    <t>2e 2w</t>
  </si>
  <si>
    <t>2w</t>
  </si>
  <si>
    <t>6e</t>
  </si>
  <si>
    <t>5e</t>
  </si>
  <si>
    <t>1e 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</si>
</sst>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9"/>
      <color rgb="FF424242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EF90-6077-4A9E-98E0-17FDEB0DD2AD}">
  <dimension ref="B1:AA141"/>
  <sheetViews>
    <sheetView tabSelected="1" topLeftCell="A77" workbookViewId="0">
      <selection activeCell="AG87" sqref="AG87"/>
    </sheetView>
  </sheetViews>
  <sheetFormatPr defaultRowHeight="15" x14ac:dyDescent="0.25"/>
  <cols>
    <col min="2" max="2" width="13.28515625" bestFit="1" customWidth="1"/>
    <col min="3" max="3" width="20.5703125" bestFit="1" customWidth="1"/>
    <col min="4" max="4" width="9.85546875" customWidth="1"/>
    <col min="7" max="7" width="9.85546875" bestFit="1" customWidth="1"/>
    <col min="8" max="8" width="9.85546875" customWidth="1"/>
    <col min="14" max="14" width="13.7109375" bestFit="1" customWidth="1"/>
    <col min="15" max="15" width="27.42578125" bestFit="1" customWidth="1"/>
    <col min="18" max="18" width="12.28515625" bestFit="1" customWidth="1"/>
  </cols>
  <sheetData>
    <row r="1" spans="2:15" x14ac:dyDescent="0.25">
      <c r="N1" t="s">
        <v>17</v>
      </c>
    </row>
    <row r="2" spans="2:15" x14ac:dyDescent="0.25">
      <c r="N2" t="s">
        <v>15</v>
      </c>
    </row>
    <row r="3" spans="2:15" x14ac:dyDescent="0.25">
      <c r="C3" t="s">
        <v>1</v>
      </c>
      <c r="N3" t="s">
        <v>16</v>
      </c>
    </row>
    <row r="4" spans="2:15" x14ac:dyDescent="0.25">
      <c r="B4" t="s">
        <v>2</v>
      </c>
      <c r="C4" t="s">
        <v>0</v>
      </c>
      <c r="N4" t="s">
        <v>18</v>
      </c>
    </row>
    <row r="5" spans="2:15" x14ac:dyDescent="0.25">
      <c r="N5" t="s">
        <v>19</v>
      </c>
    </row>
    <row r="6" spans="2:15" x14ac:dyDescent="0.25">
      <c r="B6" t="s">
        <v>3</v>
      </c>
      <c r="N6" t="s">
        <v>20</v>
      </c>
    </row>
    <row r="7" spans="2:15" x14ac:dyDescent="0.25">
      <c r="B7" t="s">
        <v>4</v>
      </c>
      <c r="C7" t="s">
        <v>7</v>
      </c>
      <c r="N7" t="s">
        <v>21</v>
      </c>
    </row>
    <row r="8" spans="2:15" x14ac:dyDescent="0.25">
      <c r="B8" t="s">
        <v>5</v>
      </c>
      <c r="C8" t="s">
        <v>6</v>
      </c>
      <c r="N8" t="s">
        <v>22</v>
      </c>
      <c r="O8" t="s">
        <v>27</v>
      </c>
    </row>
    <row r="9" spans="2:15" x14ac:dyDescent="0.25">
      <c r="B9" t="s">
        <v>8</v>
      </c>
      <c r="C9" t="s">
        <v>9</v>
      </c>
      <c r="E9" t="s">
        <v>33</v>
      </c>
      <c r="J9" t="s">
        <v>34</v>
      </c>
      <c r="N9" t="s">
        <v>23</v>
      </c>
    </row>
    <row r="10" spans="2:15" x14ac:dyDescent="0.25">
      <c r="D10" t="s">
        <v>11</v>
      </c>
      <c r="E10" t="s">
        <v>45</v>
      </c>
      <c r="I10" t="s">
        <v>13</v>
      </c>
      <c r="J10" t="s">
        <v>44</v>
      </c>
      <c r="N10" t="s">
        <v>24</v>
      </c>
    </row>
    <row r="11" spans="2:15" x14ac:dyDescent="0.25">
      <c r="C11" t="s">
        <v>10</v>
      </c>
      <c r="D11">
        <v>1</v>
      </c>
      <c r="E11">
        <v>2</v>
      </c>
      <c r="F11">
        <v>3</v>
      </c>
      <c r="G11" t="s">
        <v>12</v>
      </c>
      <c r="I11">
        <v>1</v>
      </c>
      <c r="J11">
        <v>2</v>
      </c>
      <c r="K11">
        <v>3</v>
      </c>
      <c r="L11" t="s">
        <v>12</v>
      </c>
    </row>
    <row r="12" spans="2:15" x14ac:dyDescent="0.25">
      <c r="B12" t="s">
        <v>15</v>
      </c>
      <c r="D12">
        <v>4.45</v>
      </c>
      <c r="E12">
        <v>4.46</v>
      </c>
      <c r="F12">
        <v>4.4800000000000004</v>
      </c>
      <c r="G12" s="3">
        <f>SUM(D12:F12)/3</f>
        <v>4.4633333333333338</v>
      </c>
      <c r="I12">
        <v>4.16</v>
      </c>
      <c r="J12">
        <v>4.17</v>
      </c>
      <c r="K12">
        <v>4.17</v>
      </c>
      <c r="L12" s="3">
        <f>SUM(I12:K12)/3</f>
        <v>4.166666666666667</v>
      </c>
      <c r="N12" t="s">
        <v>25</v>
      </c>
    </row>
    <row r="13" spans="2:15" x14ac:dyDescent="0.25">
      <c r="B13" t="s">
        <v>16</v>
      </c>
      <c r="D13">
        <v>0.01</v>
      </c>
      <c r="E13">
        <v>0.01</v>
      </c>
      <c r="F13">
        <v>0.01</v>
      </c>
      <c r="G13" s="4">
        <f>SUM(D13:F13)/3</f>
        <v>0.01</v>
      </c>
      <c r="I13">
        <v>0.24</v>
      </c>
      <c r="J13">
        <v>0.24</v>
      </c>
      <c r="K13">
        <v>0.24</v>
      </c>
      <c r="L13" s="5">
        <f t="shared" ref="L13:L21" si="0">SUM(I13:K13)/3</f>
        <v>0.24</v>
      </c>
      <c r="N13" t="s">
        <v>26</v>
      </c>
    </row>
    <row r="14" spans="2:15" x14ac:dyDescent="0.25">
      <c r="B14" t="s">
        <v>17</v>
      </c>
      <c r="D14">
        <v>2.57</v>
      </c>
      <c r="E14">
        <v>2.54</v>
      </c>
      <c r="F14">
        <v>2.5</v>
      </c>
      <c r="G14" s="5">
        <f>SUM(D14:F14)/3</f>
        <v>2.5366666666666666</v>
      </c>
      <c r="I14">
        <v>2.4900000000000002</v>
      </c>
      <c r="J14">
        <v>2.5099999999999998</v>
      </c>
      <c r="K14">
        <v>2.5099999999999998</v>
      </c>
      <c r="L14" s="5">
        <f t="shared" si="0"/>
        <v>2.5033333333333334</v>
      </c>
    </row>
    <row r="17" spans="2:27" x14ac:dyDescent="0.25">
      <c r="D17" t="s">
        <v>11</v>
      </c>
      <c r="I17" t="s">
        <v>13</v>
      </c>
      <c r="N17" s="1" t="s">
        <v>35</v>
      </c>
    </row>
    <row r="18" spans="2:27" x14ac:dyDescent="0.25">
      <c r="C18" t="s">
        <v>28</v>
      </c>
      <c r="D18">
        <v>1</v>
      </c>
      <c r="E18">
        <v>2</v>
      </c>
      <c r="F18">
        <v>3</v>
      </c>
      <c r="G18" t="s">
        <v>12</v>
      </c>
      <c r="I18">
        <v>1</v>
      </c>
      <c r="J18">
        <v>2</v>
      </c>
      <c r="K18">
        <v>3</v>
      </c>
      <c r="L18" t="s">
        <v>12</v>
      </c>
      <c r="N18" s="1"/>
    </row>
    <row r="19" spans="2:27" x14ac:dyDescent="0.25">
      <c r="B19" t="s">
        <v>15</v>
      </c>
      <c r="D19">
        <v>4.8600000000000003</v>
      </c>
      <c r="E19">
        <v>4.87</v>
      </c>
      <c r="F19">
        <v>4.93</v>
      </c>
      <c r="G19" s="3">
        <f>SUM(D19:F19)/3</f>
        <v>4.8866666666666667</v>
      </c>
      <c r="I19">
        <v>5.69</v>
      </c>
      <c r="J19">
        <v>5.63</v>
      </c>
      <c r="K19">
        <v>5.62</v>
      </c>
      <c r="L19" s="3">
        <f>SUM(I19:K19)/3</f>
        <v>5.6466666666666674</v>
      </c>
    </row>
    <row r="20" spans="2:27" x14ac:dyDescent="0.25">
      <c r="B20" t="s">
        <v>16</v>
      </c>
      <c r="D20">
        <v>0.27</v>
      </c>
      <c r="E20">
        <v>0.28999999999999998</v>
      </c>
      <c r="F20">
        <v>0.27</v>
      </c>
      <c r="G20" s="3">
        <f>SUM(D20:F20)/3</f>
        <v>0.27666666666666667</v>
      </c>
      <c r="I20">
        <v>0.25</v>
      </c>
      <c r="J20">
        <v>0.25</v>
      </c>
      <c r="K20">
        <v>0.25</v>
      </c>
      <c r="L20" s="5">
        <f>SUM(I20:K20)/3</f>
        <v>0.25</v>
      </c>
    </row>
    <row r="21" spans="2:27" x14ac:dyDescent="0.25">
      <c r="B21" t="s">
        <v>17</v>
      </c>
      <c r="D21">
        <v>2.84</v>
      </c>
      <c r="E21">
        <v>2.84</v>
      </c>
      <c r="F21">
        <v>2.89</v>
      </c>
      <c r="G21" s="5">
        <f>SUM(D21:F21)/3</f>
        <v>2.8566666666666669</v>
      </c>
      <c r="I21">
        <v>2.9</v>
      </c>
      <c r="J21">
        <v>2.84</v>
      </c>
      <c r="K21">
        <v>2.85</v>
      </c>
      <c r="L21" s="5">
        <f>SUM(I21:K21)/3</f>
        <v>2.8633333333333333</v>
      </c>
    </row>
    <row r="24" spans="2:27" x14ac:dyDescent="0.25">
      <c r="D24" t="s">
        <v>11</v>
      </c>
      <c r="I24" t="s">
        <v>13</v>
      </c>
    </row>
    <row r="25" spans="2:27" x14ac:dyDescent="0.25">
      <c r="C25" t="s">
        <v>29</v>
      </c>
      <c r="D25">
        <v>1</v>
      </c>
      <c r="E25">
        <v>2</v>
      </c>
      <c r="F25">
        <v>3</v>
      </c>
      <c r="G25" t="s">
        <v>12</v>
      </c>
      <c r="I25">
        <v>1</v>
      </c>
      <c r="J25">
        <v>2</v>
      </c>
      <c r="K25">
        <v>3</v>
      </c>
      <c r="L25" t="s">
        <v>12</v>
      </c>
    </row>
    <row r="26" spans="2:27" x14ac:dyDescent="0.25">
      <c r="B26" t="s">
        <v>15</v>
      </c>
      <c r="D26">
        <v>3.25</v>
      </c>
      <c r="E26">
        <v>3.23</v>
      </c>
      <c r="F26">
        <v>3.25</v>
      </c>
      <c r="G26" s="5">
        <f>SUM(D26:F26)/3</f>
        <v>3.2433333333333336</v>
      </c>
      <c r="I26">
        <v>3.24</v>
      </c>
      <c r="J26">
        <v>3.24</v>
      </c>
      <c r="K26">
        <v>3.25</v>
      </c>
      <c r="L26" s="5">
        <f>SUM(I26:K26)/3</f>
        <v>3.2433333333333336</v>
      </c>
    </row>
    <row r="27" spans="2:27" x14ac:dyDescent="0.25">
      <c r="B27" t="s">
        <v>16</v>
      </c>
      <c r="D27">
        <v>0</v>
      </c>
      <c r="E27">
        <v>0</v>
      </c>
      <c r="F27">
        <v>0</v>
      </c>
      <c r="G27" s="4">
        <f>SUM(D27:F27)/3</f>
        <v>0</v>
      </c>
      <c r="I27">
        <v>0</v>
      </c>
      <c r="J27">
        <v>0</v>
      </c>
      <c r="K27">
        <v>0</v>
      </c>
      <c r="L27" s="4">
        <f>SUM(I27:K27)/3</f>
        <v>0</v>
      </c>
    </row>
    <row r="28" spans="2:27" x14ac:dyDescent="0.25">
      <c r="B28" t="s">
        <v>17</v>
      </c>
      <c r="D28">
        <v>3.25</v>
      </c>
      <c r="E28">
        <v>3.23</v>
      </c>
      <c r="F28">
        <v>3.25</v>
      </c>
      <c r="G28" s="3">
        <f>SUM(D28:F28)/3</f>
        <v>3.2433333333333336</v>
      </c>
      <c r="I28">
        <v>3.24</v>
      </c>
      <c r="J28">
        <v>3.24</v>
      </c>
      <c r="K28">
        <v>3.25</v>
      </c>
      <c r="L28" s="3">
        <f>SUM(I28:K28)/3</f>
        <v>3.2433333333333336</v>
      </c>
    </row>
    <row r="29" spans="2:27" x14ac:dyDescent="0.25">
      <c r="T29" t="s">
        <v>33</v>
      </c>
      <c r="Y29" t="s">
        <v>34</v>
      </c>
    </row>
    <row r="30" spans="2:27" x14ac:dyDescent="0.25">
      <c r="S30" t="s">
        <v>11</v>
      </c>
      <c r="T30" t="s">
        <v>45</v>
      </c>
      <c r="X30" t="s">
        <v>13</v>
      </c>
      <c r="Y30" t="s">
        <v>44</v>
      </c>
    </row>
    <row r="31" spans="2:27" x14ac:dyDescent="0.25">
      <c r="D31" t="s">
        <v>11</v>
      </c>
      <c r="I31" t="s">
        <v>13</v>
      </c>
      <c r="R31" t="s">
        <v>10</v>
      </c>
      <c r="S31">
        <v>1</v>
      </c>
      <c r="T31">
        <v>2</v>
      </c>
      <c r="U31">
        <v>3</v>
      </c>
      <c r="V31" t="s">
        <v>12</v>
      </c>
      <c r="X31">
        <v>1</v>
      </c>
      <c r="Y31">
        <v>2</v>
      </c>
      <c r="Z31">
        <v>3</v>
      </c>
      <c r="AA31" t="s">
        <v>12</v>
      </c>
    </row>
    <row r="32" spans="2:27" x14ac:dyDescent="0.25">
      <c r="C32" t="s">
        <v>30</v>
      </c>
      <c r="D32">
        <v>1</v>
      </c>
      <c r="E32">
        <v>2</v>
      </c>
      <c r="F32">
        <v>3</v>
      </c>
      <c r="G32" t="s">
        <v>12</v>
      </c>
      <c r="I32">
        <v>1</v>
      </c>
      <c r="J32">
        <v>2</v>
      </c>
      <c r="K32">
        <v>3</v>
      </c>
      <c r="L32" t="s">
        <v>12</v>
      </c>
      <c r="Q32" t="s">
        <v>15</v>
      </c>
      <c r="S32">
        <v>4.45</v>
      </c>
      <c r="T32">
        <v>4.46</v>
      </c>
      <c r="U32">
        <v>4.4800000000000004</v>
      </c>
      <c r="V32" s="2">
        <f>SUM(S32:U32)/3</f>
        <v>4.4633333333333338</v>
      </c>
      <c r="X32">
        <v>4.16</v>
      </c>
      <c r="Y32">
        <v>4.17</v>
      </c>
      <c r="Z32">
        <v>4.17</v>
      </c>
      <c r="AA32" s="2">
        <f>SUM(X32:Z32)/3</f>
        <v>4.166666666666667</v>
      </c>
    </row>
    <row r="33" spans="2:27" x14ac:dyDescent="0.25">
      <c r="B33" t="s">
        <v>15</v>
      </c>
      <c r="D33">
        <v>2.79</v>
      </c>
      <c r="E33">
        <v>2.8</v>
      </c>
      <c r="F33">
        <v>2.81</v>
      </c>
      <c r="G33" s="5">
        <f>SUM(D33:F33)/3</f>
        <v>2.8000000000000003</v>
      </c>
      <c r="I33">
        <v>4.1399999999999997</v>
      </c>
      <c r="J33">
        <v>4.16</v>
      </c>
      <c r="K33">
        <v>4.1399999999999997</v>
      </c>
      <c r="L33" s="3">
        <f>SUM(I33:K33)/3</f>
        <v>4.1466666666666674</v>
      </c>
      <c r="Q33" t="s">
        <v>16</v>
      </c>
      <c r="S33">
        <v>0.01</v>
      </c>
      <c r="T33">
        <v>0.01</v>
      </c>
      <c r="U33">
        <v>0.01</v>
      </c>
      <c r="V33" s="2">
        <f>SUM(S33:U33)/3</f>
        <v>0.01</v>
      </c>
      <c r="X33">
        <v>0.24</v>
      </c>
      <c r="Y33">
        <v>0.24</v>
      </c>
      <c r="Z33">
        <v>0.24</v>
      </c>
      <c r="AA33" s="2">
        <f t="shared" ref="AA33:AA34" si="1">SUM(X33:Z33)/3</f>
        <v>0.24</v>
      </c>
    </row>
    <row r="34" spans="2:27" x14ac:dyDescent="0.25">
      <c r="B34" t="s">
        <v>16</v>
      </c>
      <c r="D34">
        <v>0.02</v>
      </c>
      <c r="E34">
        <v>0.02</v>
      </c>
      <c r="F34">
        <v>0.02</v>
      </c>
      <c r="G34" s="4">
        <f>SUM(D34:F34)/3</f>
        <v>0.02</v>
      </c>
      <c r="I34">
        <v>0.08</v>
      </c>
      <c r="J34">
        <v>0.08</v>
      </c>
      <c r="K34">
        <v>0.08</v>
      </c>
      <c r="L34" s="4">
        <f>SUM(I34:K34)/3</f>
        <v>0.08</v>
      </c>
      <c r="Q34" t="s">
        <v>17</v>
      </c>
      <c r="S34">
        <v>2.57</v>
      </c>
      <c r="T34">
        <v>2.54</v>
      </c>
      <c r="U34">
        <v>2.5</v>
      </c>
      <c r="V34" s="2">
        <f>SUM(S34:U34)/3</f>
        <v>2.5366666666666666</v>
      </c>
      <c r="X34">
        <v>2.4900000000000002</v>
      </c>
      <c r="Y34">
        <v>2.5099999999999998</v>
      </c>
      <c r="Z34">
        <v>2.5099999999999998</v>
      </c>
      <c r="AA34" s="2">
        <f t="shared" si="1"/>
        <v>2.5033333333333334</v>
      </c>
    </row>
    <row r="35" spans="2:27" x14ac:dyDescent="0.25">
      <c r="B35" t="s">
        <v>17</v>
      </c>
      <c r="D35">
        <v>2.79</v>
      </c>
      <c r="E35">
        <v>2.8</v>
      </c>
      <c r="F35">
        <v>2.81</v>
      </c>
      <c r="G35" s="5">
        <f>SUM(D35:F35)/3</f>
        <v>2.8000000000000003</v>
      </c>
      <c r="I35">
        <v>2.82</v>
      </c>
      <c r="J35">
        <v>2.85</v>
      </c>
      <c r="K35">
        <v>2.83</v>
      </c>
      <c r="L35" s="5">
        <f>SUM(I35:K35)/3</f>
        <v>2.8333333333333335</v>
      </c>
    </row>
    <row r="38" spans="2:27" x14ac:dyDescent="0.25">
      <c r="D38" t="s">
        <v>11</v>
      </c>
      <c r="I38" t="s">
        <v>13</v>
      </c>
    </row>
    <row r="39" spans="2:27" x14ac:dyDescent="0.25">
      <c r="C39" t="s">
        <v>41</v>
      </c>
      <c r="D39">
        <v>1</v>
      </c>
      <c r="E39">
        <v>2</v>
      </c>
      <c r="F39">
        <v>3</v>
      </c>
      <c r="G39" t="s">
        <v>12</v>
      </c>
      <c r="I39">
        <v>1</v>
      </c>
      <c r="J39">
        <v>2</v>
      </c>
      <c r="K39">
        <v>3</v>
      </c>
      <c r="L39" t="s">
        <v>12</v>
      </c>
    </row>
    <row r="40" spans="2:27" x14ac:dyDescent="0.25">
      <c r="B40" t="s">
        <v>15</v>
      </c>
      <c r="D40">
        <v>2.81</v>
      </c>
      <c r="E40">
        <v>2.82</v>
      </c>
      <c r="F40">
        <v>2.81</v>
      </c>
      <c r="G40" s="5">
        <f>SUM(D40:F40)/3</f>
        <v>2.813333333333333</v>
      </c>
      <c r="I40">
        <v>2.83</v>
      </c>
      <c r="J40">
        <v>2.83</v>
      </c>
      <c r="K40">
        <v>2.84</v>
      </c>
      <c r="L40" s="5">
        <f>SUM(I40:K40)/3</f>
        <v>2.8333333333333335</v>
      </c>
    </row>
    <row r="41" spans="2:27" x14ac:dyDescent="0.25">
      <c r="B41" t="s">
        <v>16</v>
      </c>
      <c r="D41">
        <v>0</v>
      </c>
      <c r="E41">
        <v>0</v>
      </c>
      <c r="F41">
        <v>0</v>
      </c>
      <c r="G41" s="4">
        <f>SUM(D41:F41)/3</f>
        <v>0</v>
      </c>
      <c r="I41">
        <v>0.03</v>
      </c>
      <c r="J41">
        <v>0.03</v>
      </c>
      <c r="K41">
        <v>0.03</v>
      </c>
      <c r="L41" s="4">
        <f>SUM(I41:K41)/3</f>
        <v>0.03</v>
      </c>
    </row>
    <row r="42" spans="2:27" x14ac:dyDescent="0.25">
      <c r="B42" t="s">
        <v>17</v>
      </c>
      <c r="D42">
        <v>2.81</v>
      </c>
      <c r="E42">
        <v>2.82</v>
      </c>
      <c r="F42">
        <v>2.81</v>
      </c>
      <c r="G42" s="5">
        <f>SUM(D42:F42)/3</f>
        <v>2.813333333333333</v>
      </c>
      <c r="I42">
        <v>2.83</v>
      </c>
      <c r="J42">
        <v>2.83</v>
      </c>
      <c r="K42">
        <v>2.84</v>
      </c>
      <c r="L42" s="5">
        <f>SUM(I42:K42)/3</f>
        <v>2.8333333333333335</v>
      </c>
    </row>
    <row r="45" spans="2:27" x14ac:dyDescent="0.25">
      <c r="D45" t="s">
        <v>11</v>
      </c>
      <c r="I45" t="s">
        <v>13</v>
      </c>
    </row>
    <row r="46" spans="2:27" x14ac:dyDescent="0.25">
      <c r="C46" t="s">
        <v>31</v>
      </c>
      <c r="D46">
        <v>1</v>
      </c>
      <c r="E46">
        <v>2</v>
      </c>
      <c r="F46">
        <v>3</v>
      </c>
      <c r="G46" t="s">
        <v>12</v>
      </c>
      <c r="I46">
        <v>1</v>
      </c>
      <c r="J46">
        <v>2</v>
      </c>
      <c r="K46">
        <v>3</v>
      </c>
      <c r="L46" t="s">
        <v>12</v>
      </c>
    </row>
    <row r="47" spans="2:27" x14ac:dyDescent="0.25">
      <c r="B47" t="s">
        <v>15</v>
      </c>
      <c r="D47">
        <v>6.2</v>
      </c>
      <c r="E47">
        <v>6.16</v>
      </c>
      <c r="F47">
        <v>6.19</v>
      </c>
      <c r="G47" s="3">
        <f>SUM(D47:F47)/3</f>
        <v>6.1833333333333336</v>
      </c>
      <c r="I47">
        <v>6.13</v>
      </c>
      <c r="J47">
        <v>6.1</v>
      </c>
      <c r="K47">
        <v>6.15</v>
      </c>
      <c r="L47" s="3">
        <f>SUM(I47:K47)/3</f>
        <v>6.1266666666666678</v>
      </c>
    </row>
    <row r="48" spans="2:27" x14ac:dyDescent="0.25">
      <c r="B48" t="s">
        <v>16</v>
      </c>
      <c r="D48">
        <v>0</v>
      </c>
      <c r="E48">
        <v>0</v>
      </c>
      <c r="F48">
        <v>0</v>
      </c>
      <c r="G48" s="4">
        <f>SUM(D48:F48)/3</f>
        <v>0</v>
      </c>
      <c r="I48">
        <v>0</v>
      </c>
      <c r="J48">
        <v>0</v>
      </c>
      <c r="K48">
        <v>0</v>
      </c>
      <c r="L48" s="4">
        <f>SUM(I48:K48)/3</f>
        <v>0</v>
      </c>
    </row>
    <row r="49" spans="2:12" x14ac:dyDescent="0.25">
      <c r="B49" t="s">
        <v>17</v>
      </c>
      <c r="D49">
        <v>2.79</v>
      </c>
      <c r="E49">
        <v>2.78</v>
      </c>
      <c r="F49">
        <v>2.8</v>
      </c>
      <c r="G49" s="5">
        <f>SUM(D49:F49)/3</f>
        <v>2.7900000000000005</v>
      </c>
      <c r="I49">
        <v>2.77</v>
      </c>
      <c r="J49">
        <v>2.77</v>
      </c>
      <c r="K49">
        <v>2.8</v>
      </c>
      <c r="L49" s="5">
        <f>SUM(I49:K49)/3</f>
        <v>2.78</v>
      </c>
    </row>
    <row r="50" spans="2:12" x14ac:dyDescent="0.25">
      <c r="L50" s="2"/>
    </row>
    <row r="52" spans="2:12" x14ac:dyDescent="0.25">
      <c r="D52" t="s">
        <v>11</v>
      </c>
      <c r="I52" t="s">
        <v>13</v>
      </c>
    </row>
    <row r="53" spans="2:12" x14ac:dyDescent="0.25">
      <c r="C53" t="s">
        <v>32</v>
      </c>
      <c r="D53">
        <v>1</v>
      </c>
      <c r="E53">
        <v>2</v>
      </c>
      <c r="F53">
        <v>3</v>
      </c>
      <c r="G53" t="s">
        <v>12</v>
      </c>
      <c r="I53">
        <v>1</v>
      </c>
      <c r="J53">
        <v>2</v>
      </c>
      <c r="K53">
        <v>3</v>
      </c>
      <c r="L53" t="s">
        <v>12</v>
      </c>
    </row>
    <row r="54" spans="2:12" x14ac:dyDescent="0.25">
      <c r="B54" t="s">
        <v>15</v>
      </c>
      <c r="D54">
        <v>5.75</v>
      </c>
      <c r="E54">
        <v>5.74</v>
      </c>
      <c r="F54">
        <v>5.75</v>
      </c>
      <c r="G54" s="3">
        <f>SUM(D54:F54)/3</f>
        <v>5.746666666666667</v>
      </c>
      <c r="I54">
        <v>5.76</v>
      </c>
      <c r="J54">
        <v>5.75</v>
      </c>
      <c r="K54">
        <v>5.75</v>
      </c>
      <c r="L54" s="3">
        <f>SUM(I54:K54)/3</f>
        <v>5.753333333333333</v>
      </c>
    </row>
    <row r="55" spans="2:12" x14ac:dyDescent="0.25">
      <c r="B55" t="s">
        <v>16</v>
      </c>
      <c r="D55">
        <v>0</v>
      </c>
      <c r="E55">
        <v>0</v>
      </c>
      <c r="F55">
        <v>0</v>
      </c>
      <c r="G55" s="4">
        <f>SUM(D55:F55)/3</f>
        <v>0</v>
      </c>
      <c r="I55">
        <v>0</v>
      </c>
      <c r="J55">
        <v>0</v>
      </c>
      <c r="K55">
        <v>0</v>
      </c>
      <c r="L55" s="4">
        <f>SUM(I55:K55)/3</f>
        <v>0</v>
      </c>
    </row>
    <row r="56" spans="2:12" x14ac:dyDescent="0.25">
      <c r="B56" t="s">
        <v>17</v>
      </c>
      <c r="D56">
        <v>2.77</v>
      </c>
      <c r="E56">
        <v>2.76</v>
      </c>
      <c r="F56">
        <v>2.77</v>
      </c>
      <c r="G56" s="5">
        <f>SUM(D56:F56)/3</f>
        <v>2.7666666666666662</v>
      </c>
      <c r="I56">
        <v>2.77</v>
      </c>
      <c r="J56">
        <v>2.79</v>
      </c>
      <c r="K56">
        <v>2.8</v>
      </c>
      <c r="L56" s="5">
        <f>SUM(I56:K56)/3</f>
        <v>2.7866666666666666</v>
      </c>
    </row>
    <row r="59" spans="2:12" x14ac:dyDescent="0.25">
      <c r="D59" t="s">
        <v>11</v>
      </c>
      <c r="I59" t="s">
        <v>13</v>
      </c>
    </row>
    <row r="60" spans="2:12" x14ac:dyDescent="0.25">
      <c r="C60" t="s">
        <v>42</v>
      </c>
      <c r="D60">
        <v>1</v>
      </c>
      <c r="E60">
        <v>2</v>
      </c>
      <c r="F60">
        <v>3</v>
      </c>
      <c r="G60" t="s">
        <v>12</v>
      </c>
      <c r="I60">
        <v>1</v>
      </c>
      <c r="J60">
        <v>2</v>
      </c>
      <c r="K60">
        <v>3</v>
      </c>
      <c r="L60" t="s">
        <v>12</v>
      </c>
    </row>
    <row r="61" spans="2:12" x14ac:dyDescent="0.25">
      <c r="B61" t="s">
        <v>15</v>
      </c>
      <c r="D61">
        <v>2.83</v>
      </c>
      <c r="E61">
        <v>2.84</v>
      </c>
      <c r="F61">
        <v>2.83</v>
      </c>
      <c r="G61" s="5">
        <f>SUM(D61:F61)/3</f>
        <v>2.8333333333333335</v>
      </c>
      <c r="I61">
        <v>2.85</v>
      </c>
      <c r="J61">
        <v>2.88</v>
      </c>
      <c r="K61">
        <v>2.85</v>
      </c>
      <c r="L61" s="5">
        <f>SUM(I61:K61)/3</f>
        <v>2.86</v>
      </c>
    </row>
    <row r="62" spans="2:12" x14ac:dyDescent="0.25">
      <c r="B62" t="s">
        <v>16</v>
      </c>
      <c r="D62">
        <v>0</v>
      </c>
      <c r="E62">
        <v>0</v>
      </c>
      <c r="F62">
        <v>0</v>
      </c>
      <c r="G62" s="4">
        <f>SUM(D62:F62)/3</f>
        <v>0</v>
      </c>
      <c r="I62">
        <v>0</v>
      </c>
      <c r="J62">
        <v>0</v>
      </c>
      <c r="K62">
        <v>0</v>
      </c>
      <c r="L62" s="4">
        <f>SUM(I62:K62)/3</f>
        <v>0</v>
      </c>
    </row>
    <row r="63" spans="2:12" x14ac:dyDescent="0.25">
      <c r="B63" t="s">
        <v>17</v>
      </c>
      <c r="D63">
        <v>2.83</v>
      </c>
      <c r="E63">
        <v>2.84</v>
      </c>
      <c r="F63">
        <v>2.83</v>
      </c>
      <c r="G63" s="5">
        <f>SUM(D63:F63)/3</f>
        <v>2.8333333333333335</v>
      </c>
      <c r="I63">
        <v>2.85</v>
      </c>
      <c r="J63">
        <v>2.88</v>
      </c>
      <c r="K63">
        <v>2.85</v>
      </c>
      <c r="L63" s="5">
        <f>SUM(I63:K63)/3</f>
        <v>2.86</v>
      </c>
    </row>
    <row r="64" spans="2:12" x14ac:dyDescent="0.25">
      <c r="G64" s="2"/>
      <c r="L64" s="2"/>
    </row>
    <row r="65" spans="2:12" x14ac:dyDescent="0.25">
      <c r="G65" s="2"/>
      <c r="L65" s="2"/>
    </row>
    <row r="66" spans="2:12" x14ac:dyDescent="0.25">
      <c r="D66" t="s">
        <v>11</v>
      </c>
      <c r="I66" t="s">
        <v>13</v>
      </c>
    </row>
    <row r="67" spans="2:12" x14ac:dyDescent="0.25">
      <c r="C67" t="s">
        <v>43</v>
      </c>
      <c r="D67">
        <v>1</v>
      </c>
      <c r="E67">
        <v>2</v>
      </c>
      <c r="F67">
        <v>3</v>
      </c>
      <c r="G67" t="s">
        <v>12</v>
      </c>
      <c r="I67">
        <v>1</v>
      </c>
      <c r="J67">
        <v>2</v>
      </c>
      <c r="K67">
        <v>3</v>
      </c>
      <c r="L67" t="s">
        <v>12</v>
      </c>
    </row>
    <row r="68" spans="2:12" x14ac:dyDescent="0.25">
      <c r="B68" t="s">
        <v>15</v>
      </c>
      <c r="D68">
        <v>2.79</v>
      </c>
      <c r="E68">
        <v>2.82</v>
      </c>
      <c r="F68">
        <v>2.8</v>
      </c>
      <c r="G68" s="5">
        <f>SUM(D68:F68)/3</f>
        <v>2.8033333333333332</v>
      </c>
      <c r="I68">
        <v>2.85</v>
      </c>
      <c r="J68">
        <v>2.84</v>
      </c>
      <c r="K68">
        <v>2.84</v>
      </c>
      <c r="L68" s="5">
        <f>SUM(I68:K68)/3</f>
        <v>2.8433333333333333</v>
      </c>
    </row>
    <row r="69" spans="2:12" x14ac:dyDescent="0.25">
      <c r="B69" t="s">
        <v>16</v>
      </c>
      <c r="D69">
        <v>0</v>
      </c>
      <c r="E69">
        <v>0</v>
      </c>
      <c r="F69">
        <v>0</v>
      </c>
      <c r="G69" s="4">
        <f>SUM(D69:F69)/3</f>
        <v>0</v>
      </c>
      <c r="I69">
        <v>0</v>
      </c>
      <c r="J69">
        <v>0</v>
      </c>
      <c r="K69">
        <v>0</v>
      </c>
      <c r="L69" s="4">
        <f>SUM(I69:K69)/3</f>
        <v>0</v>
      </c>
    </row>
    <row r="70" spans="2:12" x14ac:dyDescent="0.25">
      <c r="B70" t="s">
        <v>17</v>
      </c>
      <c r="D70">
        <v>2.79</v>
      </c>
      <c r="E70">
        <v>2.82</v>
      </c>
      <c r="F70">
        <v>2.8</v>
      </c>
      <c r="G70" s="5">
        <f>SUM(D70:F70)/3</f>
        <v>2.8033333333333332</v>
      </c>
      <c r="I70">
        <v>2.85</v>
      </c>
      <c r="J70">
        <v>2.84</v>
      </c>
      <c r="K70">
        <v>2.84</v>
      </c>
      <c r="L70" s="5">
        <f>SUM(I70:K70)/3</f>
        <v>2.8433333333333333</v>
      </c>
    </row>
    <row r="74" spans="2:12" x14ac:dyDescent="0.25">
      <c r="C74" t="s">
        <v>1</v>
      </c>
    </row>
    <row r="75" spans="2:12" x14ac:dyDescent="0.25">
      <c r="B75" t="s">
        <v>2</v>
      </c>
      <c r="C75" t="s">
        <v>0</v>
      </c>
    </row>
    <row r="77" spans="2:12" x14ac:dyDescent="0.25">
      <c r="B77" t="s">
        <v>3</v>
      </c>
    </row>
    <row r="78" spans="2:12" x14ac:dyDescent="0.25">
      <c r="B78" t="s">
        <v>4</v>
      </c>
      <c r="C78" t="s">
        <v>39</v>
      </c>
    </row>
    <row r="79" spans="2:12" x14ac:dyDescent="0.25">
      <c r="B79" t="s">
        <v>5</v>
      </c>
      <c r="C79" t="s">
        <v>6</v>
      </c>
    </row>
    <row r="80" spans="2:12" x14ac:dyDescent="0.25">
      <c r="B80" t="s">
        <v>8</v>
      </c>
      <c r="C80" t="s">
        <v>9</v>
      </c>
    </row>
    <row r="81" spans="2:12" x14ac:dyDescent="0.25">
      <c r="D81" t="s">
        <v>11</v>
      </c>
      <c r="E81" t="s">
        <v>33</v>
      </c>
      <c r="I81" t="s">
        <v>13</v>
      </c>
      <c r="J81" t="s">
        <v>34</v>
      </c>
    </row>
    <row r="82" spans="2:12" x14ac:dyDescent="0.25">
      <c r="C82" t="s">
        <v>10</v>
      </c>
      <c r="D82">
        <v>1</v>
      </c>
      <c r="E82">
        <v>2</v>
      </c>
      <c r="F82">
        <v>3</v>
      </c>
      <c r="G82" t="s">
        <v>12</v>
      </c>
      <c r="I82">
        <v>1</v>
      </c>
      <c r="J82">
        <v>2</v>
      </c>
      <c r="K82">
        <v>3</v>
      </c>
      <c r="L82" t="s">
        <v>12</v>
      </c>
    </row>
    <row r="83" spans="2:12" x14ac:dyDescent="0.25">
      <c r="B83" t="s">
        <v>15</v>
      </c>
      <c r="D83">
        <v>1.31</v>
      </c>
      <c r="E83">
        <v>1.33</v>
      </c>
      <c r="F83">
        <v>1.33</v>
      </c>
      <c r="G83" s="2">
        <f>SUM(D83:F83)/3</f>
        <v>1.3233333333333335</v>
      </c>
      <c r="I83">
        <v>1.38</v>
      </c>
      <c r="J83">
        <v>1.36</v>
      </c>
      <c r="K83">
        <v>1.36</v>
      </c>
      <c r="L83" s="2">
        <f>SUM(I83:K83)/3</f>
        <v>1.3666666666666669</v>
      </c>
    </row>
    <row r="84" spans="2:12" x14ac:dyDescent="0.25">
      <c r="B84" t="s">
        <v>16</v>
      </c>
      <c r="D84">
        <v>0</v>
      </c>
      <c r="E84">
        <v>0</v>
      </c>
      <c r="F84">
        <v>0</v>
      </c>
      <c r="G84" s="2">
        <f>SUM(D84:F84)/3</f>
        <v>0</v>
      </c>
      <c r="I84">
        <v>0</v>
      </c>
      <c r="J84">
        <v>0</v>
      </c>
      <c r="K84">
        <v>0</v>
      </c>
      <c r="L84" s="2">
        <f t="shared" ref="L84:L85" si="2">SUM(I84:K84)/3</f>
        <v>0</v>
      </c>
    </row>
    <row r="85" spans="2:12" x14ac:dyDescent="0.25">
      <c r="B85" t="s">
        <v>17</v>
      </c>
      <c r="D85">
        <v>1.1499999999999999</v>
      </c>
      <c r="E85">
        <v>1.1599999999999999</v>
      </c>
      <c r="F85">
        <v>1.1499999999999999</v>
      </c>
      <c r="G85" s="2">
        <f>SUM(D85:F85)/3</f>
        <v>1.1533333333333331</v>
      </c>
      <c r="I85">
        <v>1.1499999999999999</v>
      </c>
      <c r="J85">
        <v>1.1499999999999999</v>
      </c>
      <c r="K85">
        <v>1.1299999999999999</v>
      </c>
      <c r="L85" s="2">
        <f t="shared" si="2"/>
        <v>1.1433333333333333</v>
      </c>
    </row>
    <row r="88" spans="2:12" x14ac:dyDescent="0.25">
      <c r="D88" t="s">
        <v>11</v>
      </c>
      <c r="I88" t="s">
        <v>13</v>
      </c>
    </row>
    <row r="89" spans="2:12" x14ac:dyDescent="0.25">
      <c r="C89" t="s">
        <v>28</v>
      </c>
      <c r="D89">
        <v>1</v>
      </c>
      <c r="E89">
        <v>2</v>
      </c>
      <c r="F89">
        <v>3</v>
      </c>
      <c r="G89" t="s">
        <v>12</v>
      </c>
      <c r="I89">
        <v>1</v>
      </c>
      <c r="J89">
        <v>2</v>
      </c>
      <c r="K89">
        <v>3</v>
      </c>
      <c r="L89" t="s">
        <v>12</v>
      </c>
    </row>
    <row r="90" spans="2:12" x14ac:dyDescent="0.25">
      <c r="B90" t="s">
        <v>15</v>
      </c>
      <c r="D90">
        <v>1.53</v>
      </c>
      <c r="E90">
        <v>1.36</v>
      </c>
      <c r="F90">
        <v>1.51</v>
      </c>
      <c r="G90" s="2">
        <f>SUM(D90:F90)/3</f>
        <v>1.4666666666666668</v>
      </c>
      <c r="I90">
        <v>1.55</v>
      </c>
      <c r="J90">
        <v>1.58</v>
      </c>
      <c r="K90">
        <v>1.55</v>
      </c>
      <c r="L90" s="2">
        <f>SUM(I90:K90)/3</f>
        <v>1.5599999999999998</v>
      </c>
    </row>
    <row r="91" spans="2:12" x14ac:dyDescent="0.25">
      <c r="B91" t="s">
        <v>16</v>
      </c>
      <c r="D91">
        <v>0.24</v>
      </c>
      <c r="E91">
        <v>0.32</v>
      </c>
      <c r="F91">
        <v>0.24</v>
      </c>
      <c r="G91" s="2">
        <f>SUM(D91:F91)/3</f>
        <v>0.26666666666666666</v>
      </c>
      <c r="I91">
        <v>0.63</v>
      </c>
      <c r="J91">
        <v>0.63</v>
      </c>
      <c r="K91">
        <v>0.62</v>
      </c>
      <c r="L91" s="2">
        <f>SUM(I91:K91)/3</f>
        <v>0.62666666666666659</v>
      </c>
    </row>
    <row r="92" spans="2:12" x14ac:dyDescent="0.25">
      <c r="B92" t="s">
        <v>17</v>
      </c>
      <c r="D92">
        <v>1.0900000000000001</v>
      </c>
      <c r="E92">
        <v>1.08</v>
      </c>
      <c r="F92">
        <v>1.07</v>
      </c>
      <c r="G92" s="2">
        <f>SUM(D92:F92)/3</f>
        <v>1.08</v>
      </c>
      <c r="I92">
        <v>1.0900000000000001</v>
      </c>
      <c r="J92">
        <v>1.1100000000000001</v>
      </c>
      <c r="K92">
        <v>1.1000000000000001</v>
      </c>
      <c r="L92" s="2">
        <f>SUM(I92:K92)/3</f>
        <v>1.1000000000000001</v>
      </c>
    </row>
    <row r="95" spans="2:12" x14ac:dyDescent="0.25">
      <c r="D95" t="s">
        <v>11</v>
      </c>
      <c r="I95" t="s">
        <v>13</v>
      </c>
    </row>
    <row r="96" spans="2:12" x14ac:dyDescent="0.25">
      <c r="C96" t="s">
        <v>29</v>
      </c>
      <c r="D96">
        <v>1</v>
      </c>
      <c r="E96">
        <v>2</v>
      </c>
      <c r="F96">
        <v>3</v>
      </c>
      <c r="G96" t="s">
        <v>12</v>
      </c>
      <c r="I96">
        <v>1</v>
      </c>
      <c r="J96">
        <v>2</v>
      </c>
      <c r="K96">
        <v>3</v>
      </c>
      <c r="L96" t="s">
        <v>12</v>
      </c>
    </row>
    <row r="97" spans="2:12" x14ac:dyDescent="0.25">
      <c r="B97" t="s">
        <v>15</v>
      </c>
      <c r="D97">
        <v>1.18</v>
      </c>
      <c r="E97">
        <v>1.19</v>
      </c>
      <c r="F97">
        <v>1.18</v>
      </c>
      <c r="G97" s="2">
        <f>SUM(D97:F97)/3</f>
        <v>1.1833333333333333</v>
      </c>
      <c r="I97">
        <v>1.2</v>
      </c>
      <c r="J97">
        <v>1.19</v>
      </c>
      <c r="K97">
        <v>1.23</v>
      </c>
      <c r="L97" s="2">
        <f>SUM(I97:K97)/3</f>
        <v>1.2066666666666666</v>
      </c>
    </row>
    <row r="98" spans="2:12" x14ac:dyDescent="0.25">
      <c r="B98" t="s">
        <v>16</v>
      </c>
      <c r="D98">
        <v>0</v>
      </c>
      <c r="E98">
        <v>0</v>
      </c>
      <c r="F98">
        <v>0</v>
      </c>
      <c r="G98" s="2">
        <f>SUM(D98:F98)/3</f>
        <v>0</v>
      </c>
      <c r="I98">
        <v>0</v>
      </c>
      <c r="J98">
        <v>0</v>
      </c>
      <c r="K98">
        <v>0</v>
      </c>
      <c r="L98" s="2">
        <f>SUM(I98:K98)/3</f>
        <v>0</v>
      </c>
    </row>
    <row r="99" spans="2:12" x14ac:dyDescent="0.25">
      <c r="B99" t="s">
        <v>17</v>
      </c>
      <c r="D99">
        <v>1.18</v>
      </c>
      <c r="E99">
        <v>1.19</v>
      </c>
      <c r="F99">
        <v>1.18</v>
      </c>
      <c r="G99" s="2">
        <f>SUM(D99:F99)/3</f>
        <v>1.1833333333333333</v>
      </c>
      <c r="I99">
        <v>1.2</v>
      </c>
      <c r="J99">
        <v>1.19</v>
      </c>
      <c r="K99">
        <v>1.23</v>
      </c>
      <c r="L99" s="2">
        <f>SUM(I99:K99)/3</f>
        <v>1.2066666666666666</v>
      </c>
    </row>
    <row r="102" spans="2:12" x14ac:dyDescent="0.25">
      <c r="D102" t="s">
        <v>11</v>
      </c>
      <c r="I102" t="s">
        <v>13</v>
      </c>
    </row>
    <row r="103" spans="2:12" x14ac:dyDescent="0.25">
      <c r="C103" t="s">
        <v>30</v>
      </c>
      <c r="D103">
        <v>1</v>
      </c>
      <c r="E103">
        <v>2</v>
      </c>
      <c r="F103">
        <v>3</v>
      </c>
      <c r="G103" t="s">
        <v>12</v>
      </c>
      <c r="I103">
        <v>1</v>
      </c>
      <c r="J103">
        <v>2</v>
      </c>
      <c r="K103">
        <v>3</v>
      </c>
      <c r="L103" t="s">
        <v>12</v>
      </c>
    </row>
    <row r="104" spans="2:12" x14ac:dyDescent="0.25">
      <c r="B104" t="s">
        <v>15</v>
      </c>
      <c r="D104">
        <v>1.01</v>
      </c>
      <c r="E104">
        <v>1.02</v>
      </c>
      <c r="F104">
        <v>1.02</v>
      </c>
      <c r="G104" s="2">
        <f>SUM(D104:F104)/3</f>
        <v>1.0166666666666668</v>
      </c>
      <c r="I104">
        <v>1.54</v>
      </c>
      <c r="J104">
        <v>1.55</v>
      </c>
      <c r="K104">
        <v>1.59</v>
      </c>
      <c r="L104" s="2">
        <f>SUM(I104:K104)/3</f>
        <v>1.5599999999999998</v>
      </c>
    </row>
    <row r="105" spans="2:12" x14ac:dyDescent="0.25">
      <c r="B105" t="s">
        <v>16</v>
      </c>
      <c r="D105">
        <v>0.02</v>
      </c>
      <c r="E105">
        <v>0.02</v>
      </c>
      <c r="F105">
        <v>0.02</v>
      </c>
      <c r="G105" s="2">
        <f>SUM(D105:F105)/3</f>
        <v>0.02</v>
      </c>
      <c r="I105">
        <v>0.08</v>
      </c>
      <c r="J105">
        <v>0.08</v>
      </c>
      <c r="K105">
        <v>0.08</v>
      </c>
      <c r="L105" s="2">
        <f>SUM(I105:K105)/3</f>
        <v>0.08</v>
      </c>
    </row>
    <row r="106" spans="2:12" x14ac:dyDescent="0.25">
      <c r="B106" t="s">
        <v>17</v>
      </c>
      <c r="D106">
        <v>1.01</v>
      </c>
      <c r="E106">
        <v>1.02</v>
      </c>
      <c r="F106">
        <v>1.02</v>
      </c>
      <c r="G106" s="2">
        <f>SUM(D106:F106)/3</f>
        <v>1.0166666666666668</v>
      </c>
      <c r="I106">
        <v>1.03</v>
      </c>
      <c r="J106">
        <v>1.03</v>
      </c>
      <c r="K106">
        <v>1.06</v>
      </c>
      <c r="L106" s="2">
        <f>SUM(I106:K106)/3</f>
        <v>1.04</v>
      </c>
    </row>
    <row r="109" spans="2:12" x14ac:dyDescent="0.25">
      <c r="D109" t="s">
        <v>11</v>
      </c>
      <c r="I109" t="s">
        <v>13</v>
      </c>
    </row>
    <row r="110" spans="2:12" x14ac:dyDescent="0.25">
      <c r="C110" t="s">
        <v>41</v>
      </c>
      <c r="D110">
        <v>1</v>
      </c>
      <c r="E110">
        <v>2</v>
      </c>
      <c r="F110">
        <v>3</v>
      </c>
      <c r="G110" t="s">
        <v>12</v>
      </c>
      <c r="I110">
        <v>1</v>
      </c>
      <c r="J110">
        <v>2</v>
      </c>
      <c r="K110">
        <v>3</v>
      </c>
      <c r="L110" t="s">
        <v>12</v>
      </c>
    </row>
    <row r="111" spans="2:12" x14ac:dyDescent="0.25">
      <c r="B111" t="s">
        <v>15</v>
      </c>
      <c r="D111">
        <v>1.02</v>
      </c>
      <c r="E111">
        <v>1.02</v>
      </c>
      <c r="F111">
        <v>1.03</v>
      </c>
      <c r="G111" s="2">
        <f>SUM(D111:F111)/3</f>
        <v>1.0233333333333334</v>
      </c>
      <c r="I111">
        <v>1.04</v>
      </c>
      <c r="J111">
        <v>1.06</v>
      </c>
      <c r="K111">
        <v>1.06</v>
      </c>
      <c r="L111" s="2">
        <f>SUM(I111:K111)/3</f>
        <v>1.0533333333333335</v>
      </c>
    </row>
    <row r="112" spans="2:12" x14ac:dyDescent="0.25">
      <c r="B112" t="s">
        <v>16</v>
      </c>
      <c r="D112">
        <v>0</v>
      </c>
      <c r="E112">
        <v>0</v>
      </c>
      <c r="F112">
        <v>0</v>
      </c>
      <c r="G112" s="2">
        <f>SUM(D112:F112)/3</f>
        <v>0</v>
      </c>
      <c r="I112">
        <v>0.03</v>
      </c>
      <c r="J112">
        <v>0.03</v>
      </c>
      <c r="K112">
        <v>0.03</v>
      </c>
      <c r="L112" s="2">
        <f>SUM(I112:K112)/3</f>
        <v>0.03</v>
      </c>
    </row>
    <row r="113" spans="2:12" x14ac:dyDescent="0.25">
      <c r="B113" t="s">
        <v>17</v>
      </c>
      <c r="D113">
        <v>1.02</v>
      </c>
      <c r="E113">
        <v>1.02</v>
      </c>
      <c r="F113">
        <v>1.03</v>
      </c>
      <c r="G113" s="2">
        <f>SUM(D113:F113)/3</f>
        <v>1.0233333333333334</v>
      </c>
      <c r="I113">
        <v>1.04</v>
      </c>
      <c r="J113">
        <v>1.06</v>
      </c>
      <c r="K113">
        <v>1.06</v>
      </c>
      <c r="L113" s="2">
        <f>SUM(I113:K113)/3</f>
        <v>1.0533333333333335</v>
      </c>
    </row>
    <row r="116" spans="2:12" x14ac:dyDescent="0.25">
      <c r="D116" t="s">
        <v>11</v>
      </c>
      <c r="I116" t="s">
        <v>13</v>
      </c>
    </row>
    <row r="117" spans="2:12" x14ac:dyDescent="0.25">
      <c r="C117" t="s">
        <v>31</v>
      </c>
      <c r="D117">
        <v>1</v>
      </c>
      <c r="E117">
        <v>2</v>
      </c>
      <c r="F117">
        <v>3</v>
      </c>
      <c r="G117" t="s">
        <v>12</v>
      </c>
      <c r="I117">
        <v>1</v>
      </c>
      <c r="J117">
        <v>2</v>
      </c>
      <c r="K117">
        <v>3</v>
      </c>
      <c r="L117" t="s">
        <v>12</v>
      </c>
    </row>
    <row r="118" spans="2:12" x14ac:dyDescent="0.25">
      <c r="B118" t="s">
        <v>15</v>
      </c>
      <c r="D118">
        <v>1.64</v>
      </c>
      <c r="E118">
        <v>1.64</v>
      </c>
      <c r="F118">
        <v>1.64</v>
      </c>
      <c r="G118" s="2">
        <f>SUM(D118:F118)/3</f>
        <v>1.64</v>
      </c>
      <c r="I118">
        <v>1.65</v>
      </c>
      <c r="J118">
        <v>1.65</v>
      </c>
      <c r="K118">
        <v>1.63</v>
      </c>
      <c r="L118" s="2">
        <f>SUM(I118:K118)/3</f>
        <v>1.6433333333333333</v>
      </c>
    </row>
    <row r="119" spans="2:12" x14ac:dyDescent="0.25">
      <c r="B119" t="s">
        <v>16</v>
      </c>
      <c r="D119">
        <v>0</v>
      </c>
      <c r="E119">
        <v>0</v>
      </c>
      <c r="F119">
        <v>0</v>
      </c>
      <c r="G119" s="2">
        <f>SUM(D119:F119)/3</f>
        <v>0</v>
      </c>
      <c r="I119">
        <v>0</v>
      </c>
      <c r="J119">
        <v>0</v>
      </c>
      <c r="K119">
        <v>0</v>
      </c>
      <c r="L119" s="2">
        <f>SUM(I119:K119)/3</f>
        <v>0</v>
      </c>
    </row>
    <row r="120" spans="2:12" x14ac:dyDescent="0.25">
      <c r="B120" t="s">
        <v>17</v>
      </c>
      <c r="D120">
        <v>0.98599999999999999</v>
      </c>
      <c r="E120">
        <v>0.98899999999999999</v>
      </c>
      <c r="F120">
        <v>0.998</v>
      </c>
      <c r="G120" s="2">
        <f>SUM(D120:F120)/3</f>
        <v>0.99099999999999999</v>
      </c>
      <c r="I120">
        <v>0.998</v>
      </c>
      <c r="J120">
        <v>0.99399999999999999</v>
      </c>
      <c r="K120">
        <v>0.98099999999999998</v>
      </c>
      <c r="L120" s="2">
        <f>SUM(I120:K120)/3</f>
        <v>0.99099999999999999</v>
      </c>
    </row>
    <row r="123" spans="2:12" x14ac:dyDescent="0.25">
      <c r="D123" t="s">
        <v>11</v>
      </c>
      <c r="I123" t="s">
        <v>13</v>
      </c>
    </row>
    <row r="124" spans="2:12" x14ac:dyDescent="0.25">
      <c r="C124" t="s">
        <v>32</v>
      </c>
      <c r="D124">
        <v>1</v>
      </c>
      <c r="E124">
        <v>2</v>
      </c>
      <c r="F124">
        <v>3</v>
      </c>
      <c r="G124" t="s">
        <v>12</v>
      </c>
      <c r="I124">
        <v>1</v>
      </c>
      <c r="J124">
        <v>2</v>
      </c>
      <c r="K124">
        <v>3</v>
      </c>
      <c r="L124" t="s">
        <v>12</v>
      </c>
    </row>
    <row r="125" spans="2:12" x14ac:dyDescent="0.25">
      <c r="B125" t="s">
        <v>15</v>
      </c>
      <c r="D125">
        <v>1.56</v>
      </c>
      <c r="E125">
        <v>1.58</v>
      </c>
      <c r="F125">
        <v>1.57</v>
      </c>
      <c r="G125" s="2">
        <f>SUM(D125:F125)/3</f>
        <v>1.57</v>
      </c>
      <c r="I125">
        <v>1.57</v>
      </c>
      <c r="J125">
        <v>1.57</v>
      </c>
      <c r="K125">
        <v>1.54</v>
      </c>
      <c r="L125" s="2">
        <f>SUM(I125:K125)/3</f>
        <v>1.5599999999999998</v>
      </c>
    </row>
    <row r="126" spans="2:12" x14ac:dyDescent="0.25">
      <c r="B126" t="s">
        <v>16</v>
      </c>
      <c r="D126">
        <v>0</v>
      </c>
      <c r="E126">
        <v>0</v>
      </c>
      <c r="F126">
        <v>0</v>
      </c>
      <c r="G126" s="2">
        <f>SUM(D126:F126)/3</f>
        <v>0</v>
      </c>
      <c r="I126">
        <v>0</v>
      </c>
      <c r="J126">
        <v>0</v>
      </c>
      <c r="K126">
        <v>0</v>
      </c>
      <c r="L126" s="2">
        <f>SUM(I126:K126)/3</f>
        <v>0</v>
      </c>
    </row>
    <row r="127" spans="2:12" x14ac:dyDescent="0.25">
      <c r="B127" t="s">
        <v>17</v>
      </c>
      <c r="D127">
        <v>0.97599999999999998</v>
      </c>
      <c r="E127">
        <v>0.99399999999999999</v>
      </c>
      <c r="F127">
        <v>1</v>
      </c>
      <c r="G127" s="2">
        <f>SUM(D127:F127)/3</f>
        <v>0.98999999999999988</v>
      </c>
      <c r="I127">
        <v>0.995</v>
      </c>
      <c r="J127">
        <v>0.99</v>
      </c>
      <c r="K127">
        <v>0.98199999999999998</v>
      </c>
      <c r="L127" s="2">
        <f>SUM(I127:K127)/3</f>
        <v>0.98899999999999988</v>
      </c>
    </row>
    <row r="130" spans="2:12" x14ac:dyDescent="0.25">
      <c r="D130" t="s">
        <v>11</v>
      </c>
      <c r="I130" t="s">
        <v>13</v>
      </c>
    </row>
    <row r="131" spans="2:12" x14ac:dyDescent="0.25">
      <c r="C131" t="s">
        <v>42</v>
      </c>
      <c r="D131">
        <v>1</v>
      </c>
      <c r="E131">
        <v>2</v>
      </c>
      <c r="F131">
        <v>3</v>
      </c>
      <c r="G131" t="s">
        <v>12</v>
      </c>
      <c r="I131">
        <v>1</v>
      </c>
      <c r="J131">
        <v>2</v>
      </c>
      <c r="K131">
        <v>3</v>
      </c>
      <c r="L131" t="s">
        <v>12</v>
      </c>
    </row>
    <row r="132" spans="2:12" x14ac:dyDescent="0.25">
      <c r="B132" t="s">
        <v>15</v>
      </c>
      <c r="D132">
        <v>1.05</v>
      </c>
      <c r="E132">
        <v>1.1100000000000001</v>
      </c>
      <c r="F132">
        <v>1.04</v>
      </c>
      <c r="G132" s="2">
        <f>SUM(D132:F132)/3</f>
        <v>1.0666666666666667</v>
      </c>
      <c r="I132">
        <v>1.07</v>
      </c>
      <c r="J132">
        <v>1.08</v>
      </c>
      <c r="K132">
        <v>1.07</v>
      </c>
      <c r="L132" s="2">
        <f>SUM(I132:K132)/3</f>
        <v>1.0733333333333335</v>
      </c>
    </row>
    <row r="133" spans="2:12" x14ac:dyDescent="0.25">
      <c r="B133" t="s">
        <v>16</v>
      </c>
      <c r="D133">
        <v>0</v>
      </c>
      <c r="E133">
        <v>0</v>
      </c>
      <c r="F133">
        <v>0</v>
      </c>
      <c r="G133" s="2">
        <f>SUM(D133:F133)/3</f>
        <v>0</v>
      </c>
      <c r="I133">
        <v>0</v>
      </c>
      <c r="J133">
        <v>0</v>
      </c>
      <c r="K133">
        <v>0</v>
      </c>
      <c r="L133" s="2">
        <f>SUM(I133:K133)/3</f>
        <v>0</v>
      </c>
    </row>
    <row r="134" spans="2:12" x14ac:dyDescent="0.25">
      <c r="B134" t="s">
        <v>17</v>
      </c>
      <c r="D134">
        <v>1.05</v>
      </c>
      <c r="E134">
        <v>1.1100000000000001</v>
      </c>
      <c r="F134">
        <v>1.04</v>
      </c>
      <c r="G134" s="2">
        <f>SUM(D134:F134)/3</f>
        <v>1.0666666666666667</v>
      </c>
      <c r="I134">
        <v>1.07</v>
      </c>
      <c r="J134">
        <v>1.08</v>
      </c>
      <c r="K134">
        <v>1.07</v>
      </c>
      <c r="L134" s="2">
        <f>SUM(I134:K134)/3</f>
        <v>1.0733333333333335</v>
      </c>
    </row>
    <row r="135" spans="2:12" x14ac:dyDescent="0.25">
      <c r="G135" s="2"/>
      <c r="L135" s="2"/>
    </row>
    <row r="136" spans="2:12" x14ac:dyDescent="0.25">
      <c r="G136" s="2"/>
      <c r="L136" s="2"/>
    </row>
    <row r="137" spans="2:12" x14ac:dyDescent="0.25">
      <c r="D137" t="s">
        <v>11</v>
      </c>
      <c r="I137" t="s">
        <v>13</v>
      </c>
    </row>
    <row r="138" spans="2:12" x14ac:dyDescent="0.25">
      <c r="C138" t="s">
        <v>43</v>
      </c>
      <c r="D138">
        <v>1</v>
      </c>
      <c r="E138">
        <v>2</v>
      </c>
      <c r="F138">
        <v>3</v>
      </c>
      <c r="G138" t="s">
        <v>12</v>
      </c>
      <c r="I138">
        <v>1</v>
      </c>
      <c r="J138">
        <v>2</v>
      </c>
      <c r="K138">
        <v>3</v>
      </c>
      <c r="L138" t="s">
        <v>12</v>
      </c>
    </row>
    <row r="139" spans="2:12" x14ac:dyDescent="0.25">
      <c r="B139" t="s">
        <v>15</v>
      </c>
      <c r="D139">
        <v>1.03</v>
      </c>
      <c r="E139">
        <v>1.04</v>
      </c>
      <c r="F139">
        <v>1.02</v>
      </c>
      <c r="G139" s="2">
        <f>SUM(D139:F139)/3</f>
        <v>1.03</v>
      </c>
      <c r="I139">
        <v>1.04</v>
      </c>
      <c r="J139">
        <v>1.06</v>
      </c>
      <c r="K139">
        <v>1.03</v>
      </c>
      <c r="L139" s="2">
        <f>SUM(I139:K139)/3</f>
        <v>1.0433333333333332</v>
      </c>
    </row>
    <row r="140" spans="2:12" x14ac:dyDescent="0.25">
      <c r="B140" t="s">
        <v>16</v>
      </c>
      <c r="D140">
        <v>0</v>
      </c>
      <c r="E140">
        <v>0</v>
      </c>
      <c r="F140">
        <v>0</v>
      </c>
      <c r="G140" s="2">
        <f>SUM(D140:F140)/3</f>
        <v>0</v>
      </c>
      <c r="I140">
        <v>0</v>
      </c>
      <c r="J140">
        <v>0</v>
      </c>
      <c r="K140">
        <v>0</v>
      </c>
      <c r="L140" s="2">
        <f>SUM(I140:K140)/3</f>
        <v>0</v>
      </c>
    </row>
    <row r="141" spans="2:12" x14ac:dyDescent="0.25">
      <c r="B141" t="s">
        <v>17</v>
      </c>
      <c r="D141">
        <v>1.03</v>
      </c>
      <c r="E141">
        <v>1.04</v>
      </c>
      <c r="F141">
        <v>1.02</v>
      </c>
      <c r="G141" s="2">
        <f>SUM(D141:F141)/3</f>
        <v>1.03</v>
      </c>
      <c r="I141">
        <v>1.04</v>
      </c>
      <c r="J141">
        <v>1.06</v>
      </c>
      <c r="K141">
        <v>1.03</v>
      </c>
      <c r="L141" s="2">
        <f>SUM(I141:K141)/3</f>
        <v>1.0433333333333332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88532-2D4C-43D6-A99E-A3802431EB8D}">
  <dimension ref="B4:L154"/>
  <sheetViews>
    <sheetView workbookViewId="0">
      <selection activeCell="K138" sqref="K138"/>
    </sheetView>
  </sheetViews>
  <sheetFormatPr defaultRowHeight="15" x14ac:dyDescent="0.25"/>
  <cols>
    <col min="2" max="2" width="13.28515625" bestFit="1" customWidth="1"/>
    <col min="3" max="3" width="16.42578125" bestFit="1" customWidth="1"/>
  </cols>
  <sheetData>
    <row r="4" spans="2:12" x14ac:dyDescent="0.25">
      <c r="B4" t="s">
        <v>2</v>
      </c>
      <c r="C4" t="s">
        <v>14</v>
      </c>
    </row>
    <row r="6" spans="2:12" x14ac:dyDescent="0.25">
      <c r="B6" t="s">
        <v>3</v>
      </c>
    </row>
    <row r="9" spans="2:12" x14ac:dyDescent="0.25">
      <c r="B9" t="s">
        <v>8</v>
      </c>
      <c r="C9" t="s">
        <v>9</v>
      </c>
      <c r="E9" t="s">
        <v>33</v>
      </c>
      <c r="I9" t="s">
        <v>34</v>
      </c>
    </row>
    <row r="10" spans="2:12" x14ac:dyDescent="0.25">
      <c r="D10" t="s">
        <v>11</v>
      </c>
      <c r="E10" t="s">
        <v>45</v>
      </c>
      <c r="H10" t="s">
        <v>13</v>
      </c>
      <c r="I10" t="s">
        <v>44</v>
      </c>
    </row>
    <row r="11" spans="2:12" x14ac:dyDescent="0.25">
      <c r="C11" t="s">
        <v>10</v>
      </c>
      <c r="D11">
        <v>1</v>
      </c>
      <c r="E11">
        <v>2</v>
      </c>
      <c r="F11" t="s">
        <v>12</v>
      </c>
      <c r="H11">
        <v>1</v>
      </c>
      <c r="I11">
        <v>2</v>
      </c>
      <c r="J11" t="s">
        <v>12</v>
      </c>
    </row>
    <row r="12" spans="2:12" x14ac:dyDescent="0.25">
      <c r="B12" t="s">
        <v>17</v>
      </c>
      <c r="D12">
        <v>0.9</v>
      </c>
      <c r="F12">
        <f>SUM(D12:E12)/2</f>
        <v>0.45</v>
      </c>
      <c r="H12">
        <v>2</v>
      </c>
      <c r="I12">
        <v>2</v>
      </c>
      <c r="J12">
        <f>SUM(H12:I12)/2</f>
        <v>2</v>
      </c>
      <c r="L12" t="s">
        <v>47</v>
      </c>
    </row>
    <row r="13" spans="2:12" x14ac:dyDescent="0.25">
      <c r="B13" t="s">
        <v>15</v>
      </c>
      <c r="D13">
        <v>1</v>
      </c>
      <c r="F13">
        <f>SUM(D13:E13)/2</f>
        <v>0.5</v>
      </c>
      <c r="H13">
        <v>2.6</v>
      </c>
      <c r="I13">
        <v>2.6</v>
      </c>
      <c r="J13">
        <f>SUM(H13:I13)/2</f>
        <v>2.6</v>
      </c>
      <c r="L13" t="s">
        <v>47</v>
      </c>
    </row>
    <row r="14" spans="2:12" x14ac:dyDescent="0.25">
      <c r="B14" t="s">
        <v>25</v>
      </c>
      <c r="D14">
        <v>0</v>
      </c>
      <c r="F14">
        <f>SUM(D14:E14)/2</f>
        <v>0</v>
      </c>
      <c r="H14">
        <v>50</v>
      </c>
      <c r="I14">
        <v>50</v>
      </c>
      <c r="J14">
        <f>SUM(H14:I14)/2</f>
        <v>50</v>
      </c>
      <c r="L14" t="s">
        <v>46</v>
      </c>
    </row>
    <row r="15" spans="2:12" x14ac:dyDescent="0.25">
      <c r="B15" t="s">
        <v>16</v>
      </c>
      <c r="D15">
        <v>4.0000000000000001E-3</v>
      </c>
      <c r="F15">
        <f>SUM(D15:E15)/2</f>
        <v>2E-3</v>
      </c>
      <c r="H15">
        <v>1.6000000000000001E-3</v>
      </c>
      <c r="I15">
        <v>1.6000000000000001E-3</v>
      </c>
      <c r="J15">
        <f>SUM(H15:I15)/2</f>
        <v>1.6000000000000001E-3</v>
      </c>
    </row>
    <row r="16" spans="2:12" x14ac:dyDescent="0.25">
      <c r="B16" t="s">
        <v>38</v>
      </c>
      <c r="D16">
        <v>0.9</v>
      </c>
      <c r="F16">
        <f>SUM(D16:E16)/2</f>
        <v>0.45</v>
      </c>
      <c r="H16">
        <v>2</v>
      </c>
      <c r="I16">
        <v>2</v>
      </c>
      <c r="L16" t="s">
        <v>47</v>
      </c>
    </row>
    <row r="17" spans="2:12" x14ac:dyDescent="0.25">
      <c r="B17" t="s">
        <v>21</v>
      </c>
      <c r="D17">
        <v>98</v>
      </c>
      <c r="F17">
        <f>SUM(D17:E17)/2</f>
        <v>49</v>
      </c>
      <c r="H17">
        <v>95</v>
      </c>
      <c r="I17">
        <v>95</v>
      </c>
      <c r="J17">
        <f>SUM(H17:I17)/2</f>
        <v>95</v>
      </c>
    </row>
    <row r="18" spans="2:12" x14ac:dyDescent="0.25">
      <c r="D18" t="s">
        <v>37</v>
      </c>
      <c r="H18" t="s">
        <v>48</v>
      </c>
      <c r="I18" t="s">
        <v>48</v>
      </c>
      <c r="L18" s="1" t="s">
        <v>53</v>
      </c>
    </row>
    <row r="19" spans="2:12" x14ac:dyDescent="0.25">
      <c r="B19" t="s">
        <v>22</v>
      </c>
      <c r="D19">
        <v>90</v>
      </c>
      <c r="F19">
        <f>SUM(D19:E19)/2</f>
        <v>45</v>
      </c>
      <c r="H19">
        <v>85</v>
      </c>
      <c r="I19">
        <v>85</v>
      </c>
      <c r="J19">
        <f>SUM(H19:I19)/2</f>
        <v>85</v>
      </c>
    </row>
    <row r="20" spans="2:12" x14ac:dyDescent="0.25">
      <c r="D20" t="s">
        <v>36</v>
      </c>
      <c r="H20" t="s">
        <v>49</v>
      </c>
      <c r="I20" t="s">
        <v>49</v>
      </c>
    </row>
    <row r="21" spans="2:12" x14ac:dyDescent="0.25">
      <c r="B21" t="s">
        <v>23</v>
      </c>
      <c r="D21">
        <v>100</v>
      </c>
      <c r="F21">
        <f>SUM(D21:E21)/2</f>
        <v>50</v>
      </c>
      <c r="H21">
        <v>100</v>
      </c>
      <c r="I21">
        <v>100</v>
      </c>
      <c r="J21">
        <f>SUM(H21:I21)/2</f>
        <v>100</v>
      </c>
    </row>
    <row r="23" spans="2:12" x14ac:dyDescent="0.25">
      <c r="B23" t="s">
        <v>24</v>
      </c>
      <c r="D23">
        <v>83</v>
      </c>
      <c r="F23">
        <f>SUM(D23:E23)/2</f>
        <v>41.5</v>
      </c>
      <c r="H23">
        <v>83</v>
      </c>
      <c r="I23">
        <v>83</v>
      </c>
      <c r="J23">
        <f>SUM(H23:I23)/2</f>
        <v>83</v>
      </c>
    </row>
    <row r="24" spans="2:12" x14ac:dyDescent="0.25">
      <c r="D24" t="s">
        <v>36</v>
      </c>
      <c r="H24" t="s">
        <v>36</v>
      </c>
      <c r="I24" t="s">
        <v>36</v>
      </c>
    </row>
    <row r="26" spans="2:12" x14ac:dyDescent="0.25">
      <c r="D26" t="s">
        <v>11</v>
      </c>
      <c r="H26" t="s">
        <v>13</v>
      </c>
    </row>
    <row r="27" spans="2:12" x14ac:dyDescent="0.25">
      <c r="C27" t="s">
        <v>28</v>
      </c>
      <c r="D27">
        <v>1</v>
      </c>
      <c r="E27">
        <v>2</v>
      </c>
      <c r="F27" t="s">
        <v>12</v>
      </c>
      <c r="H27">
        <v>1</v>
      </c>
      <c r="I27">
        <v>2</v>
      </c>
      <c r="J27" t="s">
        <v>12</v>
      </c>
    </row>
    <row r="28" spans="2:12" x14ac:dyDescent="0.25">
      <c r="B28" t="s">
        <v>17</v>
      </c>
      <c r="D28">
        <v>0.8</v>
      </c>
      <c r="F28">
        <f>SUM(D28:E28)/2</f>
        <v>0.4</v>
      </c>
      <c r="H28">
        <v>3.2</v>
      </c>
      <c r="J28">
        <f>SUM(H28:I28)/2</f>
        <v>1.6</v>
      </c>
    </row>
    <row r="29" spans="2:12" x14ac:dyDescent="0.25">
      <c r="B29" t="s">
        <v>15</v>
      </c>
      <c r="D29">
        <v>0.9</v>
      </c>
      <c r="F29">
        <f>SUM(D29:E29)/2</f>
        <v>0.45</v>
      </c>
      <c r="H29">
        <v>4.0999999999999996</v>
      </c>
      <c r="J29">
        <f>SUM(H29:I29)/2</f>
        <v>2.0499999999999998</v>
      </c>
    </row>
    <row r="30" spans="2:12" x14ac:dyDescent="0.25">
      <c r="B30" t="s">
        <v>25</v>
      </c>
      <c r="D30">
        <v>0</v>
      </c>
      <c r="F30">
        <f>SUM(D30:E30)/2</f>
        <v>0</v>
      </c>
      <c r="H30">
        <v>10</v>
      </c>
      <c r="J30">
        <f>SUM(H30:I30)/2</f>
        <v>5</v>
      </c>
    </row>
    <row r="31" spans="2:12" x14ac:dyDescent="0.25">
      <c r="B31" t="s">
        <v>16</v>
      </c>
      <c r="D31">
        <v>4.0000000000000001E-3</v>
      </c>
      <c r="F31">
        <f>SUM(D31:E31)/2</f>
        <v>2E-3</v>
      </c>
      <c r="H31">
        <v>1.0999999999999999E-2</v>
      </c>
      <c r="J31">
        <f>SUM(H31:I31)/2</f>
        <v>5.4999999999999997E-3</v>
      </c>
    </row>
    <row r="32" spans="2:12" x14ac:dyDescent="0.25">
      <c r="B32" t="s">
        <v>38</v>
      </c>
      <c r="D32">
        <v>0.8</v>
      </c>
      <c r="F32">
        <f>SUM(D32:E32)/2</f>
        <v>0.4</v>
      </c>
      <c r="H32">
        <v>3.2</v>
      </c>
      <c r="J32">
        <f>SUM(H32:I32)/2</f>
        <v>1.6</v>
      </c>
    </row>
    <row r="33" spans="2:12" x14ac:dyDescent="0.25">
      <c r="B33" t="s">
        <v>21</v>
      </c>
      <c r="D33">
        <v>99</v>
      </c>
      <c r="F33">
        <f>SUM(D33:E33)/2</f>
        <v>49.5</v>
      </c>
      <c r="H33">
        <v>80</v>
      </c>
      <c r="J33">
        <f>SUM(H33:I33)/2</f>
        <v>40</v>
      </c>
    </row>
    <row r="34" spans="2:12" x14ac:dyDescent="0.25">
      <c r="D34" t="s">
        <v>58</v>
      </c>
      <c r="H34" t="s">
        <v>50</v>
      </c>
      <c r="L34" s="1" t="s">
        <v>53</v>
      </c>
    </row>
    <row r="35" spans="2:12" x14ac:dyDescent="0.25">
      <c r="B35" t="s">
        <v>22</v>
      </c>
      <c r="D35">
        <v>81</v>
      </c>
      <c r="F35">
        <f>SUM(D35:E35)/2</f>
        <v>40.5</v>
      </c>
      <c r="H35">
        <v>75</v>
      </c>
      <c r="J35">
        <f>SUM(H35:I35)/2</f>
        <v>37.5</v>
      </c>
    </row>
    <row r="36" spans="2:12" x14ac:dyDescent="0.25">
      <c r="D36" t="s">
        <v>49</v>
      </c>
      <c r="H36" t="s">
        <v>51</v>
      </c>
    </row>
    <row r="37" spans="2:12" x14ac:dyDescent="0.25">
      <c r="B37" t="s">
        <v>23</v>
      </c>
      <c r="D37">
        <v>100</v>
      </c>
      <c r="F37">
        <f>SUM(D37:E37)/2</f>
        <v>50</v>
      </c>
      <c r="H37">
        <v>10</v>
      </c>
      <c r="J37">
        <f>SUM(H37:I37)/2</f>
        <v>5</v>
      </c>
    </row>
    <row r="39" spans="2:12" x14ac:dyDescent="0.25">
      <c r="B39" t="s">
        <v>24</v>
      </c>
      <c r="D39">
        <v>75</v>
      </c>
      <c r="F39">
        <f>SUM(D39:E39)/2</f>
        <v>37.5</v>
      </c>
      <c r="H39">
        <v>75</v>
      </c>
      <c r="J39">
        <f>SUM(H39:I39)/2</f>
        <v>37.5</v>
      </c>
    </row>
    <row r="40" spans="2:12" x14ac:dyDescent="0.25">
      <c r="D40" t="s">
        <v>49</v>
      </c>
      <c r="H40" t="s">
        <v>49</v>
      </c>
    </row>
    <row r="42" spans="2:12" x14ac:dyDescent="0.25">
      <c r="D42" t="s">
        <v>11</v>
      </c>
      <c r="H42" t="s">
        <v>13</v>
      </c>
    </row>
    <row r="43" spans="2:12" x14ac:dyDescent="0.25">
      <c r="C43" t="s">
        <v>29</v>
      </c>
      <c r="D43">
        <v>1</v>
      </c>
      <c r="E43">
        <v>2</v>
      </c>
      <c r="F43" t="s">
        <v>12</v>
      </c>
      <c r="H43">
        <v>1</v>
      </c>
      <c r="I43">
        <v>2</v>
      </c>
      <c r="J43" t="s">
        <v>12</v>
      </c>
    </row>
    <row r="44" spans="2:12" x14ac:dyDescent="0.25">
      <c r="B44" t="s">
        <v>17</v>
      </c>
      <c r="D44">
        <v>0.8</v>
      </c>
      <c r="F44">
        <f>SUM(D44:E44)/2</f>
        <v>0.4</v>
      </c>
      <c r="H44">
        <v>2.2999999999999998</v>
      </c>
      <c r="J44">
        <f>SUM(H44:I44)/2</f>
        <v>1.1499999999999999</v>
      </c>
    </row>
    <row r="45" spans="2:12" x14ac:dyDescent="0.25">
      <c r="B45" t="s">
        <v>15</v>
      </c>
      <c r="D45">
        <v>0.8</v>
      </c>
      <c r="F45">
        <f>SUM(D45:E45)/2</f>
        <v>0.4</v>
      </c>
      <c r="H45">
        <v>3.1</v>
      </c>
      <c r="J45">
        <f>SUM(H45:I45)/2</f>
        <v>1.55</v>
      </c>
    </row>
    <row r="46" spans="2:12" x14ac:dyDescent="0.25">
      <c r="B46" t="s">
        <v>25</v>
      </c>
      <c r="D46">
        <v>0</v>
      </c>
      <c r="F46">
        <f>SUM(D46:E46)/2</f>
        <v>0</v>
      </c>
      <c r="H46">
        <v>30</v>
      </c>
      <c r="J46">
        <f>SUM(H46:I46)/2</f>
        <v>15</v>
      </c>
    </row>
    <row r="47" spans="2:12" x14ac:dyDescent="0.25">
      <c r="B47" t="s">
        <v>16</v>
      </c>
      <c r="D47">
        <v>0</v>
      </c>
      <c r="F47">
        <f>SUM(D47:E47)/2</f>
        <v>0</v>
      </c>
      <c r="H47">
        <v>2E-3</v>
      </c>
      <c r="J47">
        <f>SUM(H47:I47)/2</f>
        <v>1E-3</v>
      </c>
    </row>
    <row r="48" spans="2:12" x14ac:dyDescent="0.25">
      <c r="B48" t="s">
        <v>38</v>
      </c>
      <c r="D48">
        <v>0.8</v>
      </c>
      <c r="F48">
        <f>SUM(D48:E48)/2</f>
        <v>0.4</v>
      </c>
      <c r="H48">
        <v>2.2999999999999998</v>
      </c>
      <c r="J48">
        <f>SUM(H48:I48)/2</f>
        <v>1.1499999999999999</v>
      </c>
    </row>
    <row r="49" spans="2:12" x14ac:dyDescent="0.25">
      <c r="B49" t="s">
        <v>21</v>
      </c>
      <c r="D49">
        <v>99</v>
      </c>
      <c r="F49">
        <f>SUM(D49:E49)/2</f>
        <v>49.5</v>
      </c>
      <c r="H49">
        <v>91</v>
      </c>
      <c r="J49">
        <f>SUM(H49:I49)/2</f>
        <v>45.5</v>
      </c>
    </row>
    <row r="50" spans="2:12" x14ac:dyDescent="0.25">
      <c r="D50" t="s">
        <v>59</v>
      </c>
      <c r="H50" t="s">
        <v>52</v>
      </c>
      <c r="L50" s="1" t="s">
        <v>53</v>
      </c>
    </row>
    <row r="51" spans="2:12" x14ac:dyDescent="0.25">
      <c r="B51" t="s">
        <v>22</v>
      </c>
      <c r="D51">
        <v>76</v>
      </c>
      <c r="F51">
        <f>SUM(D51:E51)/2</f>
        <v>38</v>
      </c>
      <c r="H51">
        <v>79</v>
      </c>
      <c r="J51">
        <f>SUM(H51:I51)/2</f>
        <v>39.5</v>
      </c>
    </row>
    <row r="52" spans="2:12" x14ac:dyDescent="0.25">
      <c r="D52" t="s">
        <v>60</v>
      </c>
      <c r="H52" t="s">
        <v>51</v>
      </c>
    </row>
    <row r="53" spans="2:12" x14ac:dyDescent="0.25">
      <c r="B53" t="s">
        <v>23</v>
      </c>
      <c r="D53">
        <v>100</v>
      </c>
      <c r="F53">
        <f>SUM(D53:E53)/2</f>
        <v>50</v>
      </c>
      <c r="H53">
        <v>100</v>
      </c>
      <c r="J53">
        <f>SUM(H53:I53)/2</f>
        <v>50</v>
      </c>
    </row>
    <row r="54" spans="2:12" x14ac:dyDescent="0.25">
      <c r="H54" t="s">
        <v>36</v>
      </c>
    </row>
    <row r="55" spans="2:12" x14ac:dyDescent="0.25">
      <c r="B55" t="s">
        <v>24</v>
      </c>
      <c r="D55">
        <v>83</v>
      </c>
      <c r="F55">
        <f>SUM(D55:E55)/2</f>
        <v>41.5</v>
      </c>
      <c r="H55">
        <v>82</v>
      </c>
      <c r="J55">
        <f>SUM(H55:I55)/2</f>
        <v>41</v>
      </c>
    </row>
    <row r="56" spans="2:12" x14ac:dyDescent="0.25">
      <c r="D56" t="s">
        <v>36</v>
      </c>
    </row>
    <row r="58" spans="2:12" x14ac:dyDescent="0.25">
      <c r="D58" t="s">
        <v>11</v>
      </c>
      <c r="H58" t="s">
        <v>13</v>
      </c>
    </row>
    <row r="59" spans="2:12" x14ac:dyDescent="0.25">
      <c r="C59" t="s">
        <v>40</v>
      </c>
      <c r="D59">
        <v>1</v>
      </c>
      <c r="E59">
        <v>2</v>
      </c>
      <c r="F59" t="s">
        <v>12</v>
      </c>
      <c r="H59">
        <v>1</v>
      </c>
      <c r="I59">
        <v>2</v>
      </c>
      <c r="J59" t="s">
        <v>12</v>
      </c>
    </row>
    <row r="60" spans="2:12" x14ac:dyDescent="0.25">
      <c r="B60" t="s">
        <v>17</v>
      </c>
      <c r="D60">
        <v>0.05</v>
      </c>
      <c r="F60">
        <f>SUM(D60:E60)/2</f>
        <v>2.5000000000000001E-2</v>
      </c>
      <c r="H60">
        <v>2.7</v>
      </c>
      <c r="J60">
        <f>SUM(H60:I60)/2</f>
        <v>1.35</v>
      </c>
    </row>
    <row r="61" spans="2:12" x14ac:dyDescent="0.25">
      <c r="B61" t="s">
        <v>15</v>
      </c>
      <c r="D61">
        <v>0.7</v>
      </c>
      <c r="F61">
        <f>SUM(D61:E61)/2</f>
        <v>0.35</v>
      </c>
      <c r="H61">
        <v>3.2</v>
      </c>
      <c r="J61">
        <f>SUM(H61:I61)/2</f>
        <v>1.6</v>
      </c>
    </row>
    <row r="62" spans="2:12" x14ac:dyDescent="0.25">
      <c r="B62" t="s">
        <v>25</v>
      </c>
      <c r="D62">
        <v>0</v>
      </c>
      <c r="F62">
        <f>SUM(D62:E62)/2</f>
        <v>0</v>
      </c>
      <c r="H62">
        <v>0</v>
      </c>
      <c r="J62">
        <f>SUM(H62:I62)/2</f>
        <v>0</v>
      </c>
    </row>
    <row r="63" spans="2:12" x14ac:dyDescent="0.25">
      <c r="B63" t="s">
        <v>16</v>
      </c>
      <c r="D63">
        <v>1.7999999999999999E-2</v>
      </c>
      <c r="F63">
        <f>SUM(D63:E63)/2</f>
        <v>8.9999999999999993E-3</v>
      </c>
      <c r="H63">
        <v>0.11</v>
      </c>
      <c r="J63">
        <f>SUM(H63:I63)/2</f>
        <v>5.5E-2</v>
      </c>
    </row>
    <row r="64" spans="2:12" x14ac:dyDescent="0.25">
      <c r="B64" t="s">
        <v>38</v>
      </c>
      <c r="D64">
        <v>0.5</v>
      </c>
      <c r="F64">
        <f>SUM(D64:E64)/2</f>
        <v>0.25</v>
      </c>
      <c r="H64">
        <v>2.7</v>
      </c>
      <c r="J64">
        <f>SUM(H64:I64)/2</f>
        <v>1.35</v>
      </c>
      <c r="K64" t="s">
        <v>55</v>
      </c>
    </row>
    <row r="65" spans="2:12" x14ac:dyDescent="0.25">
      <c r="B65" t="s">
        <v>21</v>
      </c>
      <c r="D65">
        <v>100</v>
      </c>
      <c r="F65">
        <f>SUM(D65:E65)/2</f>
        <v>50</v>
      </c>
      <c r="H65">
        <v>85</v>
      </c>
      <c r="J65">
        <f>SUM(H65:I65)/2</f>
        <v>42.5</v>
      </c>
      <c r="K65" t="s">
        <v>54</v>
      </c>
    </row>
    <row r="66" spans="2:12" x14ac:dyDescent="0.25">
      <c r="D66" t="s">
        <v>62</v>
      </c>
      <c r="H66" t="s">
        <v>50</v>
      </c>
      <c r="L66" s="1" t="s">
        <v>53</v>
      </c>
    </row>
    <row r="67" spans="2:12" x14ac:dyDescent="0.25">
      <c r="B67" t="s">
        <v>22</v>
      </c>
      <c r="D67">
        <v>77</v>
      </c>
      <c r="F67">
        <f>SUM(D67:E67)/2</f>
        <v>38.5</v>
      </c>
      <c r="H67">
        <v>82</v>
      </c>
      <c r="J67">
        <f>SUM(H67:I67)/2</f>
        <v>41</v>
      </c>
    </row>
    <row r="68" spans="2:12" x14ac:dyDescent="0.25">
      <c r="D68" t="s">
        <v>61</v>
      </c>
      <c r="H68" t="s">
        <v>49</v>
      </c>
    </row>
    <row r="69" spans="2:12" x14ac:dyDescent="0.25">
      <c r="B69" t="s">
        <v>23</v>
      </c>
      <c r="D69">
        <v>100</v>
      </c>
      <c r="F69">
        <f>SUM(D69:E69)/2</f>
        <v>50</v>
      </c>
      <c r="H69">
        <v>100</v>
      </c>
      <c r="J69">
        <f>SUM(H69:I69)/2</f>
        <v>50</v>
      </c>
    </row>
    <row r="71" spans="2:12" x14ac:dyDescent="0.25">
      <c r="B71" t="s">
        <v>24</v>
      </c>
      <c r="D71">
        <v>83</v>
      </c>
      <c r="F71">
        <f>SUM(D71:E71)/2</f>
        <v>41.5</v>
      </c>
      <c r="H71">
        <v>83</v>
      </c>
      <c r="J71">
        <f>SUM(H71:I71)/2</f>
        <v>41.5</v>
      </c>
    </row>
    <row r="72" spans="2:12" x14ac:dyDescent="0.25">
      <c r="D72" t="s">
        <v>36</v>
      </c>
      <c r="H72" t="s">
        <v>36</v>
      </c>
    </row>
    <row r="74" spans="2:12" x14ac:dyDescent="0.25">
      <c r="D74" t="s">
        <v>11</v>
      </c>
      <c r="H74" t="s">
        <v>13</v>
      </c>
    </row>
    <row r="75" spans="2:12" x14ac:dyDescent="0.25">
      <c r="C75" t="s">
        <v>41</v>
      </c>
      <c r="D75">
        <v>1</v>
      </c>
      <c r="E75">
        <v>2</v>
      </c>
      <c r="F75" t="s">
        <v>12</v>
      </c>
      <c r="H75">
        <v>1</v>
      </c>
      <c r="I75">
        <v>2</v>
      </c>
      <c r="J75" t="s">
        <v>12</v>
      </c>
    </row>
    <row r="76" spans="2:12" x14ac:dyDescent="0.25">
      <c r="B76" t="s">
        <v>17</v>
      </c>
      <c r="D76">
        <v>0.5</v>
      </c>
      <c r="F76">
        <f>SUM(D76:E76)/2</f>
        <v>0.25</v>
      </c>
      <c r="H76">
        <v>2.1</v>
      </c>
      <c r="J76">
        <f>SUM(H76:I76)/2</f>
        <v>1.05</v>
      </c>
    </row>
    <row r="77" spans="2:12" x14ac:dyDescent="0.25">
      <c r="B77" t="s">
        <v>15</v>
      </c>
      <c r="D77">
        <v>0.7</v>
      </c>
      <c r="F77">
        <f>SUM(D77:E77)/2</f>
        <v>0.35</v>
      </c>
      <c r="H77">
        <v>2.5</v>
      </c>
      <c r="J77">
        <f>SUM(H77:I77)/2</f>
        <v>1.25</v>
      </c>
    </row>
    <row r="78" spans="2:12" x14ac:dyDescent="0.25">
      <c r="B78" t="s">
        <v>25</v>
      </c>
      <c r="D78">
        <v>0</v>
      </c>
      <c r="F78">
        <f>SUM(D78:E78)/2</f>
        <v>0</v>
      </c>
      <c r="H78">
        <v>0</v>
      </c>
      <c r="J78">
        <f>SUM(H78:I78)/2</f>
        <v>0</v>
      </c>
    </row>
    <row r="79" spans="2:12" x14ac:dyDescent="0.25">
      <c r="B79" t="s">
        <v>16</v>
      </c>
      <c r="D79">
        <v>3.0000000000000001E-3</v>
      </c>
      <c r="F79">
        <f>SUM(D79:E79)/2</f>
        <v>1.5E-3</v>
      </c>
      <c r="H79">
        <v>2.9000000000000001E-2</v>
      </c>
      <c r="J79">
        <f>SUM(H79:I79)/2</f>
        <v>1.4500000000000001E-2</v>
      </c>
    </row>
    <row r="80" spans="2:12" x14ac:dyDescent="0.25">
      <c r="B80" t="s">
        <v>38</v>
      </c>
      <c r="D80">
        <v>0.5</v>
      </c>
      <c r="F80">
        <f>SUM(D80:E80)/2</f>
        <v>0.25</v>
      </c>
      <c r="H80">
        <v>2.1</v>
      </c>
      <c r="J80">
        <f>SUM(H80:I80)/2</f>
        <v>1.05</v>
      </c>
    </row>
    <row r="81" spans="2:12" x14ac:dyDescent="0.25">
      <c r="B81" t="s">
        <v>21</v>
      </c>
      <c r="D81">
        <v>100</v>
      </c>
      <c r="F81">
        <f>SUM(D81:E81)/2</f>
        <v>50</v>
      </c>
      <c r="H81">
        <v>95</v>
      </c>
      <c r="J81">
        <f>SUM(H81:I81)/2</f>
        <v>47.5</v>
      </c>
    </row>
    <row r="82" spans="2:12" x14ac:dyDescent="0.25">
      <c r="D82" t="s">
        <v>57</v>
      </c>
      <c r="H82" t="s">
        <v>52</v>
      </c>
      <c r="L82" s="1" t="s">
        <v>53</v>
      </c>
    </row>
    <row r="83" spans="2:12" x14ac:dyDescent="0.25">
      <c r="B83" t="s">
        <v>22</v>
      </c>
      <c r="D83">
        <v>77</v>
      </c>
      <c r="F83">
        <f>SUM(D83:E83)/2</f>
        <v>38.5</v>
      </c>
      <c r="H83">
        <v>82</v>
      </c>
      <c r="J83">
        <f>SUM(H83:I83)/2</f>
        <v>41</v>
      </c>
    </row>
    <row r="84" spans="2:12" x14ac:dyDescent="0.25">
      <c r="D84" t="s">
        <v>61</v>
      </c>
      <c r="H84" t="s">
        <v>49</v>
      </c>
    </row>
    <row r="85" spans="2:12" x14ac:dyDescent="0.25">
      <c r="B85" t="s">
        <v>23</v>
      </c>
      <c r="D85">
        <v>100</v>
      </c>
      <c r="F85">
        <f>SUM(D85:E85)/2</f>
        <v>50</v>
      </c>
      <c r="H85">
        <v>100</v>
      </c>
      <c r="J85">
        <f>SUM(H85:I85)/2</f>
        <v>50</v>
      </c>
    </row>
    <row r="87" spans="2:12" x14ac:dyDescent="0.25">
      <c r="B87" t="s">
        <v>24</v>
      </c>
      <c r="D87">
        <v>83</v>
      </c>
      <c r="F87">
        <f>SUM(D87:E87)/2</f>
        <v>41.5</v>
      </c>
      <c r="H87">
        <v>83</v>
      </c>
      <c r="J87">
        <f>SUM(H87:I87)/2</f>
        <v>41.5</v>
      </c>
    </row>
    <row r="88" spans="2:12" x14ac:dyDescent="0.25">
      <c r="D88" t="s">
        <v>36</v>
      </c>
      <c r="H88" t="s">
        <v>36</v>
      </c>
    </row>
    <row r="90" spans="2:12" x14ac:dyDescent="0.25">
      <c r="D90" t="s">
        <v>11</v>
      </c>
      <c r="H90" t="s">
        <v>13</v>
      </c>
    </row>
    <row r="91" spans="2:12" x14ac:dyDescent="0.25">
      <c r="C91" t="s">
        <v>31</v>
      </c>
      <c r="D91">
        <v>1</v>
      </c>
      <c r="E91">
        <v>2</v>
      </c>
      <c r="F91" t="s">
        <v>12</v>
      </c>
      <c r="H91">
        <v>1</v>
      </c>
      <c r="I91">
        <v>2</v>
      </c>
      <c r="J91" t="s">
        <v>12</v>
      </c>
    </row>
    <row r="92" spans="2:12" x14ac:dyDescent="0.25">
      <c r="B92" t="s">
        <v>17</v>
      </c>
      <c r="D92">
        <v>0.8</v>
      </c>
      <c r="F92">
        <f>SUM(D92:E92)/2</f>
        <v>0.4</v>
      </c>
      <c r="H92">
        <v>2.1</v>
      </c>
      <c r="J92">
        <f>SUM(H92:I92)/2</f>
        <v>1.05</v>
      </c>
    </row>
    <row r="93" spans="2:12" x14ac:dyDescent="0.25">
      <c r="B93" t="s">
        <v>15</v>
      </c>
      <c r="D93">
        <v>1</v>
      </c>
      <c r="F93">
        <f>SUM(D93:E93)/2</f>
        <v>0.5</v>
      </c>
      <c r="H93">
        <v>4.0999999999999996</v>
      </c>
      <c r="J93">
        <f>SUM(H93:I93)/2</f>
        <v>2.0499999999999998</v>
      </c>
    </row>
    <row r="94" spans="2:12" x14ac:dyDescent="0.25">
      <c r="B94" t="s">
        <v>25</v>
      </c>
      <c r="D94">
        <v>0</v>
      </c>
      <c r="F94">
        <f>SUM(D94:E94)/2</f>
        <v>0</v>
      </c>
      <c r="H94">
        <v>0</v>
      </c>
      <c r="J94">
        <f>SUM(H94:I94)/2</f>
        <v>0</v>
      </c>
    </row>
    <row r="95" spans="2:12" x14ac:dyDescent="0.25">
      <c r="B95" t="s">
        <v>16</v>
      </c>
      <c r="D95">
        <v>0</v>
      </c>
      <c r="F95">
        <f>SUM(D95:E95)/2</f>
        <v>0</v>
      </c>
      <c r="H95">
        <v>3.0000000000000001E-3</v>
      </c>
      <c r="J95">
        <f>SUM(H95:I95)/2</f>
        <v>1.5E-3</v>
      </c>
    </row>
    <row r="96" spans="2:12" x14ac:dyDescent="0.25">
      <c r="B96" t="s">
        <v>38</v>
      </c>
      <c r="D96">
        <v>0.8</v>
      </c>
      <c r="F96">
        <f>SUM(D96:E96)/2</f>
        <v>0.4</v>
      </c>
      <c r="H96" s="2">
        <v>2.1</v>
      </c>
      <c r="J96">
        <f>SUM(H96:I96)/2</f>
        <v>1.05</v>
      </c>
    </row>
    <row r="97" spans="2:10" x14ac:dyDescent="0.25">
      <c r="B97" t="s">
        <v>21</v>
      </c>
      <c r="D97">
        <v>98</v>
      </c>
      <c r="F97">
        <f>SUM(D97:E97)/2</f>
        <v>49</v>
      </c>
      <c r="H97">
        <v>85</v>
      </c>
      <c r="J97">
        <f>SUM(H97:I97)/2</f>
        <v>42.5</v>
      </c>
    </row>
    <row r="98" spans="2:10" x14ac:dyDescent="0.25">
      <c r="D98" t="s">
        <v>49</v>
      </c>
      <c r="H98" t="s">
        <v>56</v>
      </c>
    </row>
    <row r="99" spans="2:10" x14ac:dyDescent="0.25">
      <c r="B99" t="s">
        <v>22</v>
      </c>
      <c r="D99">
        <v>67</v>
      </c>
      <c r="F99">
        <f>SUM(D99:E99)/2</f>
        <v>33.5</v>
      </c>
      <c r="H99">
        <v>67</v>
      </c>
      <c r="J99">
        <f>SUM(H99:I99)/2</f>
        <v>33.5</v>
      </c>
    </row>
    <row r="100" spans="2:10" x14ac:dyDescent="0.25">
      <c r="D100" t="s">
        <v>51</v>
      </c>
      <c r="H100" t="s">
        <v>51</v>
      </c>
    </row>
    <row r="101" spans="2:10" x14ac:dyDescent="0.25">
      <c r="B101" t="s">
        <v>23</v>
      </c>
      <c r="D101">
        <v>100</v>
      </c>
      <c r="F101">
        <f>SUM(D101:E101)/2</f>
        <v>50</v>
      </c>
      <c r="H101">
        <v>100</v>
      </c>
      <c r="J101">
        <f>SUM(H101:I101)/2</f>
        <v>50</v>
      </c>
    </row>
    <row r="103" spans="2:10" x14ac:dyDescent="0.25">
      <c r="B103" t="s">
        <v>24</v>
      </c>
      <c r="D103">
        <v>83</v>
      </c>
      <c r="F103">
        <f>SUM(D103:E103)/2</f>
        <v>41.5</v>
      </c>
      <c r="H103">
        <v>83</v>
      </c>
      <c r="J103">
        <f>SUM(H103:I103)/2</f>
        <v>41.5</v>
      </c>
    </row>
    <row r="104" spans="2:10" x14ac:dyDescent="0.25">
      <c r="D104" t="s">
        <v>36</v>
      </c>
      <c r="H104" t="s">
        <v>36</v>
      </c>
    </row>
    <row r="106" spans="2:10" x14ac:dyDescent="0.25">
      <c r="D106" t="s">
        <v>11</v>
      </c>
      <c r="H106" t="s">
        <v>13</v>
      </c>
    </row>
    <row r="107" spans="2:10" x14ac:dyDescent="0.25">
      <c r="C107" t="s">
        <v>32</v>
      </c>
      <c r="D107">
        <v>1</v>
      </c>
      <c r="E107">
        <v>2</v>
      </c>
      <c r="F107" t="s">
        <v>12</v>
      </c>
      <c r="H107">
        <v>1</v>
      </c>
      <c r="I107">
        <v>2</v>
      </c>
      <c r="J107" t="s">
        <v>12</v>
      </c>
    </row>
    <row r="108" spans="2:10" x14ac:dyDescent="0.25">
      <c r="B108" t="s">
        <v>17</v>
      </c>
      <c r="D108">
        <v>0.7</v>
      </c>
      <c r="F108">
        <f>SUM(D108:E108)/2</f>
        <v>0.35</v>
      </c>
      <c r="H108">
        <v>2.8</v>
      </c>
      <c r="J108">
        <f>SUM(H108:I108)/2</f>
        <v>1.4</v>
      </c>
    </row>
    <row r="109" spans="2:10" x14ac:dyDescent="0.25">
      <c r="B109" t="s">
        <v>15</v>
      </c>
      <c r="D109">
        <v>0.9</v>
      </c>
      <c r="F109">
        <f>SUM(D109:E109)/2</f>
        <v>0.45</v>
      </c>
      <c r="H109">
        <v>4.5</v>
      </c>
      <c r="J109">
        <f>SUM(H109:I109)/2</f>
        <v>2.25</v>
      </c>
    </row>
    <row r="110" spans="2:10" x14ac:dyDescent="0.25">
      <c r="B110" t="s">
        <v>25</v>
      </c>
      <c r="D110">
        <v>0</v>
      </c>
      <c r="F110">
        <f>SUM(D110:E110)/2</f>
        <v>0</v>
      </c>
      <c r="H110">
        <v>0</v>
      </c>
      <c r="J110">
        <f>SUM(H110:I110)/2</f>
        <v>0</v>
      </c>
    </row>
    <row r="111" spans="2:10" x14ac:dyDescent="0.25">
      <c r="B111" t="s">
        <v>16</v>
      </c>
      <c r="D111">
        <v>0</v>
      </c>
      <c r="F111">
        <f>SUM(D111:E111)/2</f>
        <v>0</v>
      </c>
      <c r="H111">
        <v>1E-3</v>
      </c>
      <c r="J111">
        <f>SUM(H111:I111)/2</f>
        <v>5.0000000000000001E-4</v>
      </c>
    </row>
    <row r="112" spans="2:10" x14ac:dyDescent="0.25">
      <c r="B112" t="s">
        <v>38</v>
      </c>
      <c r="D112">
        <v>0.7</v>
      </c>
      <c r="F112">
        <f>SUM(D112:E112)/2</f>
        <v>0.35</v>
      </c>
      <c r="H112">
        <v>2.8</v>
      </c>
      <c r="J112">
        <f>SUM(H112:I112)/2</f>
        <v>1.4</v>
      </c>
    </row>
    <row r="113" spans="2:10" x14ac:dyDescent="0.25">
      <c r="B113" t="s">
        <v>21</v>
      </c>
      <c r="D113">
        <v>99</v>
      </c>
      <c r="F113">
        <f>SUM(D113:E113)/2</f>
        <v>49.5</v>
      </c>
      <c r="H113">
        <v>80</v>
      </c>
      <c r="J113">
        <f>SUM(H113:I113)/2</f>
        <v>40</v>
      </c>
    </row>
    <row r="114" spans="2:10" x14ac:dyDescent="0.25">
      <c r="D114" t="s">
        <v>36</v>
      </c>
      <c r="H114" t="s">
        <v>56</v>
      </c>
    </row>
    <row r="115" spans="2:10" x14ac:dyDescent="0.25">
      <c r="B115" t="s">
        <v>22</v>
      </c>
      <c r="D115">
        <v>67</v>
      </c>
      <c r="F115">
        <f>SUM(D115:E115)/2</f>
        <v>33.5</v>
      </c>
      <c r="H115">
        <v>67</v>
      </c>
      <c r="J115">
        <f>SUM(H115:I115)/2</f>
        <v>33.5</v>
      </c>
    </row>
    <row r="116" spans="2:10" x14ac:dyDescent="0.25">
      <c r="D116" t="s">
        <v>51</v>
      </c>
      <c r="H116" t="s">
        <v>51</v>
      </c>
    </row>
    <row r="117" spans="2:10" x14ac:dyDescent="0.25">
      <c r="B117" t="s">
        <v>23</v>
      </c>
      <c r="D117">
        <v>100</v>
      </c>
      <c r="F117">
        <f>SUM(D117:E117)/2</f>
        <v>50</v>
      </c>
      <c r="H117">
        <v>100</v>
      </c>
      <c r="J117">
        <f>SUM(H117:I117)/2</f>
        <v>50</v>
      </c>
    </row>
    <row r="119" spans="2:10" x14ac:dyDescent="0.25">
      <c r="B119" t="s">
        <v>24</v>
      </c>
      <c r="D119">
        <v>83</v>
      </c>
      <c r="F119">
        <f>SUM(D119:E119)/2</f>
        <v>41.5</v>
      </c>
      <c r="H119">
        <v>83</v>
      </c>
      <c r="J119">
        <f>SUM(H119:I119)/2</f>
        <v>41.5</v>
      </c>
    </row>
    <row r="120" spans="2:10" x14ac:dyDescent="0.25">
      <c r="D120" t="s">
        <v>36</v>
      </c>
      <c r="H120" t="s">
        <v>36</v>
      </c>
    </row>
    <row r="123" spans="2:10" x14ac:dyDescent="0.25">
      <c r="D123" t="s">
        <v>11</v>
      </c>
      <c r="H123" t="s">
        <v>13</v>
      </c>
    </row>
    <row r="124" spans="2:10" x14ac:dyDescent="0.25">
      <c r="C124" t="s">
        <v>43</v>
      </c>
      <c r="D124">
        <v>1</v>
      </c>
      <c r="E124">
        <v>2</v>
      </c>
      <c r="F124" t="s">
        <v>12</v>
      </c>
      <c r="H124">
        <v>1</v>
      </c>
      <c r="I124">
        <v>2</v>
      </c>
      <c r="J124" t="s">
        <v>12</v>
      </c>
    </row>
    <row r="125" spans="2:10" x14ac:dyDescent="0.25">
      <c r="B125" t="s">
        <v>17</v>
      </c>
      <c r="D125">
        <v>0.7</v>
      </c>
      <c r="F125">
        <f>SUM(D125:E125)/2</f>
        <v>0.35</v>
      </c>
      <c r="H125">
        <v>2.1</v>
      </c>
      <c r="J125">
        <f>SUM(H125:I125)/2</f>
        <v>1.05</v>
      </c>
    </row>
    <row r="126" spans="2:10" x14ac:dyDescent="0.25">
      <c r="B126" t="s">
        <v>15</v>
      </c>
      <c r="D126">
        <v>0.7</v>
      </c>
      <c r="F126">
        <f>SUM(D126:E126)/2</f>
        <v>0.35</v>
      </c>
      <c r="H126">
        <v>2.2000000000000002</v>
      </c>
      <c r="J126">
        <f>SUM(H126:I126)/2</f>
        <v>1.1000000000000001</v>
      </c>
    </row>
    <row r="127" spans="2:10" x14ac:dyDescent="0.25">
      <c r="B127" t="s">
        <v>25</v>
      </c>
      <c r="D127">
        <v>0</v>
      </c>
      <c r="F127">
        <f>SUM(D127:E127)/2</f>
        <v>0</v>
      </c>
      <c r="H127">
        <v>10</v>
      </c>
      <c r="J127">
        <f>SUM(H127:I127)/2</f>
        <v>5</v>
      </c>
    </row>
    <row r="128" spans="2:10" x14ac:dyDescent="0.25">
      <c r="B128" t="s">
        <v>16</v>
      </c>
      <c r="D128">
        <v>1E-3</v>
      </c>
      <c r="F128">
        <f>SUM(D128:E128)/2</f>
        <v>5.0000000000000001E-4</v>
      </c>
      <c r="H128">
        <v>2E-3</v>
      </c>
      <c r="J128">
        <f>SUM(H128:I128)/2</f>
        <v>1E-3</v>
      </c>
    </row>
    <row r="129" spans="2:12" x14ac:dyDescent="0.25">
      <c r="B129" t="s">
        <v>38</v>
      </c>
      <c r="D129">
        <v>0.7</v>
      </c>
      <c r="F129">
        <f>SUM(D129:E129)/2</f>
        <v>0.35</v>
      </c>
      <c r="H129">
        <v>2.1</v>
      </c>
      <c r="J129">
        <f>SUM(H129:I129)/2</f>
        <v>1.05</v>
      </c>
    </row>
    <row r="130" spans="2:12" x14ac:dyDescent="0.25">
      <c r="B130" t="s">
        <v>21</v>
      </c>
      <c r="D130">
        <v>100</v>
      </c>
      <c r="F130">
        <f>SUM(D130:E130)/2</f>
        <v>50</v>
      </c>
      <c r="H130">
        <v>97</v>
      </c>
      <c r="J130">
        <f>SUM(H130:I130)/2</f>
        <v>48.5</v>
      </c>
    </row>
    <row r="131" spans="2:12" x14ac:dyDescent="0.25">
      <c r="D131" t="s">
        <v>59</v>
      </c>
      <c r="H131" t="s">
        <v>57</v>
      </c>
      <c r="L131" s="1" t="s">
        <v>53</v>
      </c>
    </row>
    <row r="132" spans="2:12" x14ac:dyDescent="0.25">
      <c r="B132" t="s">
        <v>22</v>
      </c>
      <c r="D132">
        <v>78</v>
      </c>
      <c r="F132">
        <f>SUM(D132:E132)/2</f>
        <v>39</v>
      </c>
      <c r="H132">
        <v>75</v>
      </c>
      <c r="J132">
        <f>SUM(H132:I132)/2</f>
        <v>37.5</v>
      </c>
    </row>
    <row r="133" spans="2:12" x14ac:dyDescent="0.25">
      <c r="D133" t="s">
        <v>61</v>
      </c>
      <c r="H133" t="s">
        <v>49</v>
      </c>
    </row>
    <row r="134" spans="2:12" x14ac:dyDescent="0.25">
      <c r="B134" t="s">
        <v>23</v>
      </c>
      <c r="D134">
        <v>100</v>
      </c>
      <c r="F134">
        <f>SUM(D134:E134)/2</f>
        <v>50</v>
      </c>
      <c r="H134">
        <v>100</v>
      </c>
      <c r="J134">
        <f>SUM(H134:I134)/2</f>
        <v>50</v>
      </c>
    </row>
    <row r="136" spans="2:12" x14ac:dyDescent="0.25">
      <c r="B136" t="s">
        <v>24</v>
      </c>
      <c r="D136">
        <v>83</v>
      </c>
      <c r="F136">
        <f>SUM(D136:E136)/2</f>
        <v>41.5</v>
      </c>
      <c r="H136">
        <v>82</v>
      </c>
      <c r="J136">
        <f>SUM(H136:I136)/2</f>
        <v>41</v>
      </c>
    </row>
    <row r="137" spans="2:12" x14ac:dyDescent="0.25">
      <c r="D137" t="s">
        <v>36</v>
      </c>
      <c r="H137" t="s">
        <v>36</v>
      </c>
    </row>
    <row r="140" spans="2:12" x14ac:dyDescent="0.25">
      <c r="D140" t="s">
        <v>11</v>
      </c>
      <c r="H140" t="s">
        <v>13</v>
      </c>
    </row>
    <row r="141" spans="2:12" x14ac:dyDescent="0.25">
      <c r="C141" t="s">
        <v>42</v>
      </c>
      <c r="D141">
        <v>1</v>
      </c>
      <c r="E141">
        <v>2</v>
      </c>
      <c r="F141" t="s">
        <v>12</v>
      </c>
      <c r="H141">
        <v>1</v>
      </c>
      <c r="I141">
        <v>2</v>
      </c>
      <c r="J141" t="s">
        <v>12</v>
      </c>
    </row>
    <row r="142" spans="2:12" x14ac:dyDescent="0.25">
      <c r="B142" t="s">
        <v>17</v>
      </c>
      <c r="D142">
        <v>0.5</v>
      </c>
      <c r="F142">
        <f>SUM(D142:E142)/2</f>
        <v>0.25</v>
      </c>
      <c r="H142">
        <v>2.6</v>
      </c>
      <c r="J142">
        <f>SUM(H142:I142)/2</f>
        <v>1.3</v>
      </c>
    </row>
    <row r="143" spans="2:12" x14ac:dyDescent="0.25">
      <c r="B143" t="s">
        <v>15</v>
      </c>
      <c r="D143">
        <v>0.5</v>
      </c>
      <c r="F143">
        <f>SUM(D143:E143)/2</f>
        <v>0.25</v>
      </c>
      <c r="H143">
        <v>2.6</v>
      </c>
      <c r="J143">
        <f>SUM(H143:I143)/2</f>
        <v>1.3</v>
      </c>
    </row>
    <row r="144" spans="2:12" x14ac:dyDescent="0.25">
      <c r="B144" t="s">
        <v>25</v>
      </c>
      <c r="D144">
        <v>0</v>
      </c>
      <c r="F144">
        <f>SUM(D144:E144)/2</f>
        <v>0</v>
      </c>
      <c r="H144">
        <v>0</v>
      </c>
      <c r="J144">
        <f>SUM(H144:I144)/2</f>
        <v>0</v>
      </c>
    </row>
    <row r="145" spans="2:12" x14ac:dyDescent="0.25">
      <c r="B145" t="s">
        <v>16</v>
      </c>
      <c r="D145">
        <v>1E-3</v>
      </c>
      <c r="F145">
        <f>SUM(D145:E145)/2</f>
        <v>5.0000000000000001E-4</v>
      </c>
      <c r="H145">
        <v>4.0000000000000001E-3</v>
      </c>
      <c r="J145">
        <f>SUM(H145:I145)/2</f>
        <v>2E-3</v>
      </c>
    </row>
    <row r="146" spans="2:12" x14ac:dyDescent="0.25">
      <c r="B146" t="s">
        <v>38</v>
      </c>
      <c r="D146">
        <v>0.5</v>
      </c>
      <c r="F146">
        <f>SUM(D146:E146)/2</f>
        <v>0.25</v>
      </c>
      <c r="H146">
        <v>2.6</v>
      </c>
      <c r="J146">
        <f>SUM(H146:I146)/2</f>
        <v>1.3</v>
      </c>
    </row>
    <row r="147" spans="2:12" x14ac:dyDescent="0.25">
      <c r="B147" t="s">
        <v>21</v>
      </c>
      <c r="D147">
        <v>100</v>
      </c>
      <c r="F147">
        <f>SUM(D147:E147)/2</f>
        <v>50</v>
      </c>
      <c r="H147">
        <v>93</v>
      </c>
      <c r="J147">
        <f>SUM(H147:I147)/2</f>
        <v>46.5</v>
      </c>
    </row>
    <row r="148" spans="2:12" x14ac:dyDescent="0.25">
      <c r="D148" t="s">
        <v>59</v>
      </c>
      <c r="H148" t="s">
        <v>52</v>
      </c>
      <c r="L148" s="1" t="s">
        <v>53</v>
      </c>
    </row>
    <row r="149" spans="2:12" x14ac:dyDescent="0.25">
      <c r="B149" t="s">
        <v>22</v>
      </c>
      <c r="D149">
        <v>78</v>
      </c>
      <c r="F149">
        <f>SUM(D149:E149)/2</f>
        <v>39</v>
      </c>
      <c r="H149">
        <v>83</v>
      </c>
      <c r="J149">
        <f>SUM(H149:I149)/2</f>
        <v>41.5</v>
      </c>
    </row>
    <row r="150" spans="2:12" x14ac:dyDescent="0.25">
      <c r="D150" t="s">
        <v>61</v>
      </c>
      <c r="H150" t="s">
        <v>49</v>
      </c>
    </row>
    <row r="151" spans="2:12" x14ac:dyDescent="0.25">
      <c r="B151" t="s">
        <v>23</v>
      </c>
      <c r="D151">
        <v>100</v>
      </c>
      <c r="F151">
        <f>SUM(D151:E151)/2</f>
        <v>50</v>
      </c>
      <c r="H151">
        <v>100</v>
      </c>
      <c r="J151">
        <f>SUM(H151:I151)/2</f>
        <v>50</v>
      </c>
    </row>
    <row r="153" spans="2:12" x14ac:dyDescent="0.25">
      <c r="B153" t="s">
        <v>24</v>
      </c>
      <c r="D153">
        <v>83</v>
      </c>
      <c r="F153">
        <f>SUM(D153:E153)/2</f>
        <v>41.5</v>
      </c>
      <c r="H153">
        <v>82</v>
      </c>
      <c r="J153">
        <f>SUM(H153:I153)/2</f>
        <v>41</v>
      </c>
    </row>
    <row r="154" spans="2:12" x14ac:dyDescent="0.25">
      <c r="D154" t="s">
        <v>36</v>
      </c>
      <c r="H154" t="s">
        <v>36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lighthouse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Moździerz</dc:creator>
  <cp:lastModifiedBy>Szymon Moździerz</cp:lastModifiedBy>
  <dcterms:created xsi:type="dcterms:W3CDTF">2025-08-28T13:26:52Z</dcterms:created>
  <dcterms:modified xsi:type="dcterms:W3CDTF">2025-09-03T21:27:36Z</dcterms:modified>
</cp:coreProperties>
</file>